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Historicals" sheetId="3" state="visible" r:id="rId5"/>
    <sheet name="Forecast" sheetId="4" state="visible" r:id="rId6"/>
    <sheet name="WACC" sheetId="5" state="visible" r:id="rId7"/>
    <sheet name="DCF" sheetId="6" state="visible" r:id="rId8"/>
    <sheet name="Sensitivity" sheetId="7" state="visible" r:id="rId9"/>
    <sheet name="Scenarios" sheetId="8" state="visible" r:id="rId10"/>
    <sheet name="ReverseDCF" sheetId="9" state="visible" r:id="rId11"/>
    <sheet name="Checks" sheetId="10" state="visible" r:id="rId12"/>
    <sheet name="Sourc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<sst xmlns="http://schemas.openxmlformats.org/spreadsheetml/2006/main" count="466" uniqueCount="348">
  <si>
    <t xml:space="preserve">NVIDIA Corporation (NASDAQ: NVDA) - DCF Valuation Summary</t>
  </si>
  <si>
    <t xml:space="preserve">Valuation date 13-Oct-2026 | $ in millions except per share | Prepared from NVIDIA FY2026 Form 10-K data and Q2 FY2027 results (26-Aug-2026)</t>
  </si>
  <si>
    <t xml:space="preserve">Valuation snapshot</t>
  </si>
  <si>
    <t xml:space="preserve">Active scenario</t>
  </si>
  <si>
    <t xml:space="preserve">Current share price (12-Oct-2026 close)</t>
  </si>
  <si>
    <t xml:space="preserve">Intrinsic value - perpetuity growth</t>
  </si>
  <si>
    <t xml:space="preserve">Intrinsic value - exit multiple</t>
  </si>
  <si>
    <t xml:space="preserve">Intrinsic value - blended (live scenario)</t>
  </si>
  <si>
    <t xml:space="preserve">Upside / (downside) vs price</t>
  </si>
  <si>
    <t xml:space="preserve">Recommendation (live scenario)</t>
  </si>
  <si>
    <t xml:space="preserve">Probability-weighted value (Bear/Base/Bull)</t>
  </si>
  <si>
    <t xml:space="preserve">Upside / (downside), probability-weighted</t>
  </si>
  <si>
    <t xml:space="preserve">Model integrity</t>
  </si>
  <si>
    <t xml:space="preserve">Scenario valuation</t>
  </si>
  <si>
    <t xml:space="preserve">Value/share</t>
  </si>
  <si>
    <t xml:space="preserve">Upside</t>
  </si>
  <si>
    <t xml:space="preserve">Probability</t>
  </si>
  <si>
    <t xml:space="preserve">FY36E revenue ($bn)</t>
  </si>
  <si>
    <t xml:space="preserve">Bear</t>
  </si>
  <si>
    <t xml:space="preserve">Base</t>
  </si>
  <si>
    <t xml:space="preserve">Bull</t>
  </si>
  <si>
    <t xml:space="preserve">Market price</t>
  </si>
  <si>
    <t xml:space="preserve">Key assumptions (live scenario)</t>
  </si>
  <si>
    <t xml:space="preserve">WACC</t>
  </si>
  <si>
    <t xml:space="preserve">Cost of equity (CAPM)</t>
  </si>
  <si>
    <t xml:space="preserve">Terminal growth</t>
  </si>
  <si>
    <t xml:space="preserve">Exit EV/EBITDA multiple</t>
  </si>
  <si>
    <t xml:space="preserve">RONIC</t>
  </si>
  <si>
    <t xml:space="preserve">FY2027E revenue ($mm)</t>
  </si>
  <si>
    <t xml:space="preserve">FY2030E revenue ($mm)</t>
  </si>
  <si>
    <t xml:space="preserve">FY2036E revenue ($mm)</t>
  </si>
  <si>
    <t xml:space="preserve">FY2036E operating margin</t>
  </si>
  <si>
    <t xml:space="preserve">Terminal value % of EV (perp. growth)</t>
  </si>
  <si>
    <t xml:space="preserve">Market-implied FY28-36 revenue CAGR</t>
  </si>
  <si>
    <t xml:space="preserve">Live-scenario FY28-36 revenue CAGR</t>
  </si>
  <si>
    <t xml:space="preserve">Investment view (analyst judgment - update if inputs change)</t>
  </si>
  <si>
    <t xml:space="preserve">Thesis: NVIDIA is the compute backbone of the AI build-out; revenue reached $215.9bn in FY2026 (+65%) and H1 FY2027 revenue was $177.8bn, with Q3 guided to $108bn. Data Center is ~93% of revenue.</t>
  </si>
  <si>
    <t xml:space="preserve">The market price embeds sustained hyper-growth followed by a long plateau of very high margins; the Reverse DCF tab shows the revenue CAGR and terminal margin the price requires.</t>
  </si>
  <si>
    <t xml:space="preserve">Valuation is dominated by terminal assumptions and the discount rate (beta 1.6 vs 2.2 moves WACC by ~3 pts); read Sensitivity before the headline number.</t>
  </si>
  <si>
    <t xml:space="preserve">Key risks: AI-capex digestion, customer concentration and circular financing of AI labs, custom silicon (TPU, Trainium, MTIA), China export controls, gross-margin normalisation, supply constraints (HBM, CoWoS).</t>
  </si>
  <si>
    <t xml:space="preserve">Catalysts: Vera Rubin ramp, sovereign AI, agentic/inference demand, $99bn remaining buyback authority, Q3 FY2027 results (late Nov 2026).</t>
  </si>
  <si>
    <t xml:space="preserve">NVIDIA (NVDA) DCF - Assumptions</t>
  </si>
  <si>
    <t xml:space="preserve">$ in millions unless stated. Blue = hard-coded input, black = formula, green = link to another sheet, yellow fill = key assumption.</t>
  </si>
  <si>
    <t xml:space="preserve">Scenario selector (1 = Bear, 2 = Base, 3 = Bull)</t>
  </si>
  <si>
    <t xml:space="preserve">Change this one cell to flip the whole model (Forecast, DCF, Sensitivity, Summary).</t>
  </si>
  <si>
    <t xml:space="preserve">Market &amp; valuation inputs</t>
  </si>
  <si>
    <t xml:space="preserve">Valuation date</t>
  </si>
  <si>
    <t xml:space="preserve">Date of analysis.</t>
  </si>
  <si>
    <t xml:space="preserve">FY2027 fiscal year-end</t>
  </si>
  <si>
    <t xml:space="preserve">NVIDIA FY ends last Sunday of January; FY2027 ends 31-Jan-2027.</t>
  </si>
  <si>
    <t xml:space="preserve">Share price (close, 12-Oct-2026)</t>
  </si>
  <si>
    <t xml:space="preserve">Source: Google Finance / Motley Fool quote pages, close 12-Oct-2026.</t>
  </si>
  <si>
    <t xml:space="preserve">Diluted shares (mm)</t>
  </si>
  <si>
    <t xml:space="preserve">Q2 FY2027 diluted weighted-average shares, NVIDIA 8-K 26-Aug-2026.</t>
  </si>
  <si>
    <t xml:space="preserve">Risk-free rate (10Y UST)</t>
  </si>
  <si>
    <t xml:space="preserve">Approx.: 10Y UST was 4.68% on 30-Jul-2026 (FRED via therighttrader.com). Refresh before publishing.</t>
  </si>
  <si>
    <t xml:space="preserve">Equity risk premium</t>
  </si>
  <si>
    <t xml:space="preserve">Analyst assumption (typical range 4.0-5.5%).</t>
  </si>
  <si>
    <t xml:space="preserve">Equity beta</t>
  </si>
  <si>
    <t xml:space="preserve">5Y beta: 1.60 (TradingView) vs 2.22 (Google Finance), 12-Oct-2026. Lower end used; see WACC sheet.</t>
  </si>
  <si>
    <t xml:space="preserve">Pre-tax cost of debt</t>
  </si>
  <si>
    <t xml:space="preserve">Analyst assumption; NVIDIA raised ~$25bn of debt in H1 FY2027 (Q2 FY27 cash flow statement).</t>
  </si>
  <si>
    <t xml:space="preserve">Tax rate for WACC</t>
  </si>
  <si>
    <t xml:space="preserve">Mid-point of FY2027 guided tax rate 16-18% plus modest drift.</t>
  </si>
  <si>
    <t xml:space="preserve">Haircut factor on marketable equity securities</t>
  </si>
  <si>
    <t xml:space="preserve">1.0 = count at 100% of 26-Jul-2026 carrying value.</t>
  </si>
  <si>
    <t xml:space="preserve">Haircut factor on non-marketable securities</t>
  </si>
  <si>
    <t xml:space="preserve">Judgment: strategic stakes (AI labs, partners) carried at cost/fair-value marks; 75% recognised.</t>
  </si>
  <si>
    <t xml:space="preserve">Weight on perpetuity-growth method in blended value</t>
  </si>
  <si>
    <t xml:space="preserve">Remainder on exit-multiple method.</t>
  </si>
  <si>
    <t xml:space="preserve">Probability - Bear</t>
  </si>
  <si>
    <t xml:space="preserve">Analyst judgment.</t>
  </si>
  <si>
    <t xml:space="preserve">Probability - Base</t>
  </si>
  <si>
    <t xml:space="preserve">Probability - Bull</t>
  </si>
  <si>
    <t xml:space="preserve">Operating NWC % of revenue (FY24-FY26 average)</t>
  </si>
  <si>
    <t xml:space="preserve">NWC = receivables + inventories + prepaid - payables - accrued liabilities. Stable at ~14.5-14.8% of revenue FY24-FY26.</t>
  </si>
  <si>
    <t xml:space="preserve">Buy/Sell threshold (+/- upside vs price)</t>
  </si>
  <si>
    <t xml:space="preserve">BUY if blended upside &gt; threshold, SELL if &lt; -threshold, else HOLD.</t>
  </si>
  <si>
    <t xml:space="preserve">Q3 FY2027 revenue guidance (mid-point)</t>
  </si>
  <si>
    <t xml:space="preserve">NVIDIA Q2 FY27 outlook: $108.0bn +/-2%. Used in Checks.</t>
  </si>
  <si>
    <t xml:space="preserve">Scenario drivers</t>
  </si>
  <si>
    <t xml:space="preserve">Revenue growth (y/y)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</si>
  <si>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</si>
  <si>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</si>
  <si>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</si>
  <si>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</si>
  <si>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</si>
  <si>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</si>
  <si>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</si>
  <si>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</si>
  <si>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</si>
  <si>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FY2036E</t>
  </si>
  <si>
    <t xml:space="preserve">  Bear</t>
  </si>
  <si>
    <t xml:space="preserve">  Base</t>
  </si>
  <si>
    <t xml:space="preserve">  Bull</t>
  </si>
  <si>
    <t xml:space="preserve">  Live (selected)</t>
  </si>
  <si>
    <t xml:space="preserve">FY27 anchored to guidance: H1 FY27A revenue $177.8bn + Q3 guide $108bn; Base FY27E growth of 87% implies Q4 of ~$118bn. Later years fade toward GDP-like growth.</t>
  </si>
  <si>
    <t xml:space="preserve">Operating margin (GAAP EBIT / revenue)</t>
  </si>
  <si>
    <t xml:space="preserve">GAAP margin (stock-based comp treated as a real cost). FY26A 60.4%, H1 FY27A 65.9%; Q3 guide (74% GM, $9.2bn opex) implies ~65%. Fade reflects competition, custom ASICs, mix and customer pricing power.</t>
  </si>
  <si>
    <t xml:space="preserve">Common operating drivers (all scenarios)</t>
  </si>
  <si>
    <t xml:space="preserve">Tax rate on EBIT</t>
  </si>
  <si>
    <t xml:space="preserve">D&amp;A % of revenue</t>
  </si>
  <si>
    <t xml:space="preserve">Capex % of revenue</t>
  </si>
  <si>
    <t xml:space="preserve">FY27 tax guided 16-18%. FY26A D&amp;A 1.3% and capex 2.8% of revenue; H1 FY27A 1.2% and 2.5%. Capex/D&amp;A converge toward ~1.2x by FY36.</t>
  </si>
  <si>
    <t xml:space="preserve">Terminal assumptions</t>
  </si>
  <si>
    <t xml:space="preserve">Live</t>
  </si>
  <si>
    <t xml:space="preserve">Terminal growth rate (g)</t>
  </si>
  <si>
    <t xml:space="preserve">Return on new invested capital (RONIC)</t>
  </si>
  <si>
    <t xml:space="preserve">Exit EV/EBITDA multiple (on FY2036E EBITDA)</t>
  </si>
  <si>
    <t xml:space="preserve">g is kept below the risk-free rate. Terminal reinvestment = g / RONIC, so growth is paid for (avoids the 'free growth' pitfall). Exit multiples sit in the range of mature large-cap semiconductors.</t>
  </si>
  <si>
    <t xml:space="preserve">NVIDIA historical financials (US GAAP, $ in millions)</t>
  </si>
  <si>
    <t xml:space="preserve">FY ends last Sunday of January. Sources on Sources tab. H1 FY2027A = six months ended 26-Jul-2026; balance sheet column E = 26-Jul-2026.</t>
  </si>
  <si>
    <t xml:space="preserve">Income statement</t>
  </si>
  <si>
    <t xml:space="preserve">FY2024A</t>
  </si>
  <si>
    <t xml:space="preserve">FY2025A</t>
  </si>
  <si>
    <t xml:space="preserve">FY2026A</t>
  </si>
  <si>
    <t xml:space="preserve">H1 FY2027A</t>
  </si>
  <si>
    <t xml:space="preserve">Revenue</t>
  </si>
  <si>
    <t xml:space="preserve">Cost of revenue</t>
  </si>
  <si>
    <t xml:space="preserve">Gross profit</t>
  </si>
  <si>
    <t xml:space="preserve">Research and development</t>
  </si>
  <si>
    <t xml:space="preserve">Sales, general and administrative</t>
  </si>
  <si>
    <t xml:space="preserve">Total operating expenses</t>
  </si>
  <si>
    <t xml:space="preserve">Operating income (EBIT)</t>
  </si>
  <si>
    <t xml:space="preserve">Other income, net (interest, gains &amp; other)</t>
  </si>
  <si>
    <t xml:space="preserve">Income before income tax</t>
  </si>
  <si>
    <t xml:space="preserve">Income tax expense</t>
  </si>
  <si>
    <t xml:space="preserve">Net income</t>
  </si>
  <si>
    <t xml:space="preserve">Diluted weighted-average shares (mm)</t>
  </si>
  <si>
    <t xml:space="preserve">Diluted EPS ($)</t>
  </si>
  <si>
    <t xml:space="preserve">Ratios</t>
  </si>
  <si>
    <t xml:space="preserve">n/a</t>
  </si>
  <si>
    <t xml:space="preserve">Gross margin</t>
  </si>
  <si>
    <t xml:space="preserve">Operating margin</t>
  </si>
  <si>
    <t xml:space="preserve">Effective tax rate</t>
  </si>
  <si>
    <t xml:space="preserve">R&amp;D % revenue</t>
  </si>
  <si>
    <t xml:space="preserve">SG&amp;A % revenue</t>
  </si>
  <si>
    <t xml:space="preserve">Cash flow items</t>
  </si>
  <si>
    <t xml:space="preserve">Depreciation &amp; amortization</t>
  </si>
  <si>
    <t xml:space="preserve">Stock-based compensation</t>
  </si>
  <si>
    <t xml:space="preserve">Capex (purchases of PP&amp;E and intangibles)</t>
  </si>
  <si>
    <t xml:space="preserve">Net cash from operating activities</t>
  </si>
  <si>
    <t xml:space="preserve">Free cash flow (OCF - capex)</t>
  </si>
  <si>
    <t xml:space="preserve">D&amp;A % revenue</t>
  </si>
  <si>
    <t xml:space="preserve">Capex % revenue</t>
  </si>
  <si>
    <t xml:space="preserve">SBC % revenue</t>
  </si>
  <si>
    <t xml:space="preserve">Balance sheet</t>
  </si>
  <si>
    <t xml:space="preserve">28-Jan-24</t>
  </si>
  <si>
    <t xml:space="preserve">26-Jan-25</t>
  </si>
  <si>
    <t xml:space="preserve">25-Jan-26</t>
  </si>
  <si>
    <t xml:space="preserve">26-Jul-26</t>
  </si>
  <si>
    <t xml:space="preserve">Cash, equivalents &amp; marketable debt securities</t>
  </si>
  <si>
    <t xml:space="preserve">Marketable equity securities</t>
  </si>
  <si>
    <t xml:space="preserve">Accounts receivable, net</t>
  </si>
  <si>
    <t xml:space="preserve">Inventories</t>
  </si>
  <si>
    <t xml:space="preserve">Prepaid expenses &amp;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</si>
  <si>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</si>
  <si>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</si>
  <si>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</si>
  <si>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</si>
  <si>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</si>
  <si>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</si>
  <si>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Non-marketable securities</t>
  </si>
  <si>
    <t xml:space="preserve">Other assets</t>
  </si>
  <si>
    <t xml:space="preserve">Total assets</t>
  </si>
  <si>
    <t xml:space="preserve">Accounts payable</t>
  </si>
  <si>
    <t xml:space="preserve">Accrued &amp; other current liabilities</t>
  </si>
  <si>
    <t xml:space="preserve">Short-term debt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</si>
  <si>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</si>
  <si>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</si>
  <si>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</si>
  <si>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</si>
  <si>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Shareholders' equity</t>
  </si>
  <si>
    <t xml:space="preserve">Check: assets - liabilities - equity (should be 0)</t>
  </si>
  <si>
    <t xml:space="preserve">Operating NWC (AR + inventory + prepaid - AP - accrued)</t>
  </si>
  <si>
    <t xml:space="preserve">Operating NWC % of revenue (annual columns)</t>
  </si>
  <si>
    <t xml:space="preserve">Total debt</t>
  </si>
  <si>
    <t xml:space="preserve">Invested capital (NWC + PP&amp;E + leases + goodwill + intangibles)</t>
  </si>
  <si>
    <t xml:space="preserve">ROIC (EBIT x (1 - effective tax) / ending invested capital)</t>
  </si>
  <si>
    <t xml:space="preserve">Notes: FY2024 balance-sheet marketable equity and non-marketable securities were not broken out in the FY2024 presentation (non-marketable stakes sit in 'Other assets'). FY2024 figures come from comparative columns in NVIDIA's FY2025 Form 10-K and were NOT re-pulled in this session - verify against the filing before publishing.</t>
  </si>
  <si>
    <t xml:space="preserve">Forecast &amp; free cash flow to firm (FCFF) - live scenario</t>
  </si>
  <si>
    <t xml:space="preserve">$ in millions. Scenario is selected on Assumptions!B3. FCFF = EBIT x (1 - t) + D&amp;A - capex - change in NWC. SBC is NOT added back (treated as a real cost).</t>
  </si>
  <si>
    <t xml:space="preserve">Active scenario:</t>
  </si>
  <si>
    <t xml:space="preserve">Fiscal year (ends late January)</t>
  </si>
  <si>
    <t xml:space="preserve">Revenue growth</t>
  </si>
  <si>
    <t xml:space="preserve">EBIT (GAAP operating income)</t>
  </si>
  <si>
    <t xml:space="preserve">D&amp;A</t>
  </si>
  <si>
    <t xml:space="preserve">EBITDA</t>
  </si>
  <si>
    <t xml:space="preserve">Tax rate</t>
  </si>
  <si>
    <t xml:space="preserve">Taxes on EBIT</t>
  </si>
  <si>
    <t xml:space="preserve">NOPAT</t>
  </si>
  <si>
    <t xml:space="preserve">Capex</t>
  </si>
  <si>
    <t xml:space="preserve">Operating NWC % revenue</t>
  </si>
  <si>
    <t xml:space="preserve">Operating NWC</t>
  </si>
  <si>
    <t xml:space="preserve">Increase in NWC</t>
  </si>
  <si>
    <t xml:space="preserve">FCFF</t>
  </si>
  <si>
    <t xml:space="preserve">FCFF margin</t>
  </si>
  <si>
    <t xml:space="preserve">Reinvestment rate (net capex + dNWC) / NOPAT</t>
  </si>
  <si>
    <t xml:space="preserve">Memo: revenue CAGR FY2027E-FY2036E</t>
  </si>
  <si>
    <t xml:space="preserve">Memo: SBC as % of revenue, FY2026A (cost already inside EBIT)</t>
  </si>
  <si>
    <t xml:space="preserve">Weighted average cost of capital</t>
  </si>
  <si>
    <t xml:space="preserve">Market-value weights. CAPM cost of equity.</t>
  </si>
  <si>
    <t xml:space="preserve">Risk-free rate</t>
  </si>
  <si>
    <t xml:space="preserve">Cost of equity = Rf + beta x ERP</t>
  </si>
  <si>
    <t xml:space="preserve">Cost of debt</t>
  </si>
  <si>
    <t xml:space="preserve">After-tax cost of debt</t>
  </si>
  <si>
    <t xml:space="preserve">Capital structure (market values, $mm)</t>
  </si>
  <si>
    <t xml:space="preserve">Equity market capitalisation (price x diluted shares)</t>
  </si>
  <si>
    <t xml:space="preserve">Total debt (26-Jul-2026)</t>
  </si>
  <si>
    <t xml:space="preserve">Equity weight E/(D+E)</t>
  </si>
  <si>
    <t xml:space="preserve">Debt weight D/(D+E)</t>
  </si>
  <si>
    <t xml:space="preserve">Beta cross-check (WACC at alternative betas)</t>
  </si>
  <si>
    <t xml:space="preserve">Beta 1.20</t>
  </si>
  <si>
    <t xml:space="preserve">Beta 1.40</t>
  </si>
  <si>
    <t xml:space="preserve">Beta 1.60</t>
  </si>
  <si>
    <t xml:space="preserve">Beta 1.80</t>
  </si>
  <si>
    <t xml:space="preserve">Beta 2.00</t>
  </si>
  <si>
    <t xml:space="preserve">Beta 2.22</t>
  </si>
  <si>
    <t xml:space="preserve">Observed 5Y betas on 12-Oct-2026: 1.60 (TradingView), 2.22 (Google Finance). A mega-cap with ~99% equity funding has WACC ~= cost of equity, so beta is the key discount-rate lever; see Sensitivity tab.</t>
  </si>
  <si>
    <t xml:space="preserve">Discounted cash flow valuation - live scenario</t>
  </si>
  <si>
    <t xml:space="preserve">$ in millions. Mid-year convention; stub period from valuation date to FY2027 year-end. Terminal value: value-driver perpetuity growth and exit multiple.</t>
  </si>
  <si>
    <t xml:space="preserve">Free cash flow to firm</t>
  </si>
  <si>
    <t xml:space="preserve">FCFF (full fiscal year)</t>
  </si>
  <si>
    <t xml:space="preserve">Fraction of year remaining after valuation date</t>
  </si>
  <si>
    <t xml:space="preserve">FCFF included in valuation</t>
  </si>
  <si>
    <t xml:space="preserve">Discount period (years, mid-year convention)</t>
  </si>
  <si>
    <t xml:space="preserve">Discount factor</t>
  </si>
  <si>
    <t xml:space="preserve">PV of FCFF</t>
  </si>
  <si>
    <t xml:space="preserve">Valuation parameters</t>
  </si>
  <si>
    <t xml:space="preserve">Stub fraction of FY2027 remaining ((FYE27 - valuation date) / 365)</t>
  </si>
  <si>
    <t xml:space="preserve">Terminal growth rate (live)</t>
  </si>
  <si>
    <t xml:space="preserve">RONIC (live)</t>
  </si>
  <si>
    <t xml:space="preserve">Exit EV/EBITDA multiple (live)</t>
  </si>
  <si>
    <t xml:space="preserve">Sum of PV of explicit FCFF (stub FY27 to FY36)</t>
  </si>
  <si>
    <t xml:space="preserve">Terminal value - perpetuity growth (value-driver)</t>
  </si>
  <si>
    <t xml:space="preserve">FY2036E revenue</t>
  </si>
  <si>
    <t xml:space="preserve">FY2037 NOPAT = FY36 revenue x (1+g) x margin x (1-t)</t>
  </si>
  <si>
    <t xml:space="preserve">Terminal reinvestment rate = g / RONIC</t>
  </si>
  <si>
    <t xml:space="preserve">FY2037 FCFF = NOPAT x (1 - reinvestment)</t>
  </si>
  <si>
    <t xml:space="preserve">Terminal value = FCFF / (WACC - g)</t>
  </si>
  <si>
    <t xml:space="preserve">Discount period for TV (N - 0.5, mid-year basis)</t>
  </si>
  <si>
    <t xml:space="preserve">PV of terminal value</t>
  </si>
  <si>
    <t xml:space="preserve">Enterprise value</t>
  </si>
  <si>
    <t xml:space="preserve">Terminal value % of EV</t>
  </si>
  <si>
    <t xml:space="preserve">Implied EV/EBITDA at end of FY2036 (cross-check)</t>
  </si>
  <si>
    <t xml:space="preserve">Terminal value - exit multiple</t>
  </si>
  <si>
    <t xml:space="preserve">FY2036E EBITDA</t>
  </si>
  <si>
    <t xml:space="preserve">Exit multiple</t>
  </si>
  <si>
    <t xml:space="preserve">Terminal value</t>
  </si>
  <si>
    <t xml:space="preserve">Discount period for TV (end of FY2036)</t>
  </si>
  <si>
    <t xml:space="preserve">Implied perpetuity growth (from FY36 FCFF)</t>
  </si>
  <si>
    <t xml:space="preserve">Equity bridge ($mm, balance sheet 26-Jul-2026)</t>
  </si>
  <si>
    <t xml:space="preserve">Perpetuity growth</t>
  </si>
  <si>
    <t xml:space="preserve">Blended</t>
  </si>
  <si>
    <t xml:space="preserve">Less: total debt</t>
  </si>
  <si>
    <t xml:space="preserve">Plus: cash &amp; marketable debt securities</t>
  </si>
  <si>
    <t xml:space="preserve">Plus: marketable equity securities (after haircut)</t>
  </si>
  <si>
    <t xml:space="preserve">Plus: non-marketable securities (after haircut)</t>
  </si>
  <si>
    <t xml:space="preserve">Equity value</t>
  </si>
  <si>
    <t xml:space="preserve">Intrinsic value per share</t>
  </si>
  <si>
    <t xml:space="preserve">Current share price</t>
  </si>
  <si>
    <t xml:space="preserve">Upside / (downside)</t>
  </si>
  <si>
    <t xml:space="preserve">Recommendation</t>
  </si>
  <si>
    <t xml:space="preserve">Net adjustment EV to equity (debt, cash, investments)</t>
  </si>
  <si>
    <t xml:space="preserve">Note: balance sheet is 26-Jul-2026 while valuation date is 13-Oct-2026; cash generated in between is not added (small, conservative). Operating leases are treated as operating costs (not debt). Mid-year convention: perpetuity-growth TV discounted at N-0.5, exit-multiple TV at N.</t>
  </si>
  <si>
    <t xml:space="preserve">Sensitivity analysis - intrinsic value per share ($)</t>
  </si>
  <si>
    <t xml:space="preserve">Closed-form formulas (no data tables) so they recalculate live for the selected scenario. Green = at or above current price; red = below.</t>
  </si>
  <si>
    <t xml:space="preserve">Table 1: WACC vs terminal growth (perpetuity-growth method)</t>
  </si>
  <si>
    <t xml:space="preserve">WACC (down) / terminal growth (across)</t>
  </si>
  <si>
    <t xml:space="preserve">Table 2: WACC vs exit EV/EBITDA multiple (exit-multiple method)</t>
  </si>
  <si>
    <t xml:space="preserve">WACC (down) / exit multiple (across)</t>
  </si>
  <si>
    <t xml:space="preserve">Table 3: Beta vs equity risk premium -&gt; WACC, and blended value impact is shown via Tables 1-2</t>
  </si>
  <si>
    <t xml:space="preserve">Cost of equity / WACC (beta down, ERP across)</t>
  </si>
  <si>
    <t xml:space="preserve">Scenario engine - Bear / Base / Bull computed in parallel</t>
  </si>
  <si>
    <t xml:space="preserve">Each block re-runs the DCF with that scenario's drivers (same WACC), so the probability-weighted value does not depend on the selector.</t>
  </si>
  <si>
    <t xml:space="preserve">Scenario summary</t>
  </si>
  <si>
    <t xml:space="preserve">Value/share (perp. growth)</t>
  </si>
  <si>
    <t xml:space="preserve">Value/share (exit mult.)</t>
  </si>
  <si>
    <t xml:space="preserve">Blended value/share</t>
  </si>
  <si>
    <t xml:space="preserve">Upside vs price</t>
  </si>
  <si>
    <t xml:space="preserve">Probability-weighted value per share</t>
  </si>
  <si>
    <t xml:space="preserve">Bear case</t>
  </si>
  <si>
    <t xml:space="preserve">EBIT</t>
  </si>
  <si>
    <t xml:space="preserve">Net capex (capex - D&amp;A)</t>
  </si>
  <si>
    <t xml:space="preserve">PV of FCFF (stub-adjusted)</t>
  </si>
  <si>
    <t xml:space="preserve">Sum of PV of FCFF</t>
  </si>
  <si>
    <t xml:space="preserve">PV of TV - perpetuity growth</t>
  </si>
  <si>
    <t xml:space="preserve">Enterprise value - perpetuity growth</t>
  </si>
  <si>
    <t xml:space="preserve">Value per share - perpetuity growth</t>
  </si>
  <si>
    <t xml:space="preserve">PV of TV - exit multiple</t>
  </si>
  <si>
    <t xml:space="preserve">Enterprise value - exit multiple</t>
  </si>
  <si>
    <t xml:space="preserve">Value per share - exit multiple</t>
  </si>
  <si>
    <t xml:space="preserve">Blended value per share</t>
  </si>
  <si>
    <t xml:space="preserve">Base case</t>
  </si>
  <si>
    <t xml:space="preserve">Bull case</t>
  </si>
  <si>
    <t xml:space="preserve">Reverse DCF - what is the market pricing in?</t>
  </si>
  <si>
    <t xml:space="preserve">Value per share (perpetuity-growth method) for a constant FY28-FY36 revenue CAGR and a given FY2036 operating margin. FY27E, WACC, g and RONIC from the live scenario; margin fades linearly from FY27E.</t>
  </si>
  <si>
    <t xml:space="preserve">Base-case FY28-36 revenue CAGR (live scenario)</t>
  </si>
  <si>
    <t xml:space="preserve">Base-case FY2036E operating margin (live scenario)</t>
  </si>
  <si>
    <t xml:space="preserve">Year index t (FY28 = 1 ... FY36 = 9)</t>
  </si>
  <si>
    <t xml:space="preserve">Revenue CAGR FY28-36 (down) vs FY2036 operating margin (across)</t>
  </si>
  <si>
    <t xml:space="preserve">CAGR / margin</t>
  </si>
  <si>
    <t xml:space="preserve">Market-implied FY28-36 revenue CAGR at the live FY2036 margin (interpolated)</t>
  </si>
  <si>
    <t xml:space="preserve">Market-implied exit multiple on FY2036E EBITDA (live FCFF path)</t>
  </si>
  <si>
    <t xml:space="preserve">Read: green cells justify at least today's price. A constant-CAGR path is flatter than the front-loaded forecast, so grid values are not directly comparable to the base-case value.</t>
  </si>
  <si>
    <t xml:space="preserve">Model integrity checks</t>
  </si>
  <si>
    <t xml:space="preserve">All lines should read OK. Info lines are sanity flags, not errors.</t>
  </si>
  <si>
    <t xml:space="preserve">Check</t>
  </si>
  <si>
    <t xml:space="preserve">Result</t>
  </si>
  <si>
    <t xml:space="preserve">Detail</t>
  </si>
  <si>
    <t xml:space="preserve">Historical balance sheets balance (all 4 dates)</t>
  </si>
  <si>
    <t xml:space="preserve">Sensitivity Table 1 centre = DCF perpetuity-growth value</t>
  </si>
  <si>
    <t xml:space="preserve">Sensitivity Table 2 centre = DCF exit-multiple value</t>
  </si>
  <si>
    <t xml:space="preserve">Live DCF blended value = matching Scenarios block</t>
  </si>
  <si>
    <t xml:space="preserve">WACC exceeds terminal growth</t>
  </si>
  <si>
    <t xml:space="preserve">Terminal growth &lt;= risk-free rate</t>
  </si>
  <si>
    <t xml:space="preserve">Scenario probabilities sum to 100%</t>
  </si>
  <si>
    <t xml:space="preserve">FY27E revenue &gt;= H1 actual + Q3 guidance</t>
  </si>
  <si>
    <t xml:space="preserve">Terminal value share of EV within 40-85% (perp. growth)</t>
  </si>
  <si>
    <t xml:space="preserve">Terminal reinvestment rate between 0% and 100%</t>
  </si>
  <si>
    <t xml:space="preserve">Exit-multiple and perpetuity methods within 30% of each other</t>
  </si>
  <si>
    <t xml:space="preserve">OVERALL</t>
  </si>
  <si>
    <t xml:space="preserve">Sources, methodology and limitations</t>
  </si>
  <si>
    <t xml:space="preserve">Data sources</t>
  </si>
  <si>
    <t xml:space="preserve">NVIDIA Q4 &amp; FY2026 results (8-K), 25-Feb-2026: FY2025-FY2026 income statement, balance sheet, cash flow</t>
  </si>
  <si>
    <t xml:space="preserve">https://www.sec.gov/Archives/edgar/data/1045810/000104581026000019/q4fy26pr.htm</t>
  </si>
  <si>
    <t xml:space="preserve">NVIDIA Q2 FY2027 results (8-K), 26-Aug-2026: H1 FY27 financials, 26-Jul-2026 balance sheet, Q3 FY27 outlook, tax-rate guide</t>
  </si>
  <si>
    <t xml:space="preserve">https://www.sec.gov/Archives/edgar/data/0001045810/000104581026000073/q2fy27pr.htm</t>
  </si>
  <si>
    <t xml:space="preserve">NVIDIA FY2026 Form 10-K (summary data via publicnow.com mirror)</t>
  </si>
  <si>
    <t xml:space="preserve">https://www.publicnow.com/view/2882BBE40A7C6C824C8A8D4C36B7AE84D3C63264</t>
  </si>
  <si>
    <t xml:space="preserve">Share price, beta, shares outstanding: Google Finance NVDA quote (close 12-Oct-2026)</t>
  </si>
  <si>
    <t xml:space="preserve">https://www.google.com/finance/quote/NVDA:NASDAQ</t>
  </si>
  <si>
    <t xml:space="preserve">Beta 1.60 cross-check: TradingView NVDA page</t>
  </si>
  <si>
    <t xml:space="preserve">https://www.tradingview.com/symbols/NASDAQ-NVDA/</t>
  </si>
  <si>
    <t xml:space="preserve">10-year Treasury yield (4.68% on 30-Jul-2026), FRED data via therighttrader.com</t>
  </si>
  <si>
    <t xml:space="preserve">https://therighttrader.com/pt/macro/10-year-treasury-yield</t>
  </si>
  <si>
    <t xml:space="preserve">Methodology</t>
  </si>
  <si>
    <t xml:space="preserve">FCFF = EBIT x (1 - tax) + D&amp;A - capex - change in operating NWC. EBIT is GAAP operating income, so stock-based compensation (~3% of revenue) is treated as a real cost and is not added back.</t>
  </si>
  <si>
    <t xml:space="preserve">Operating NWC held at the FY24-FY26 average share of revenue (~14.7%); the receivables and inventory build is a major drag on near-term FCFF during hyper-growth.</t>
  </si>
  <si>
    <t xml:space="preserve">Terminal value (primary): value-driver formula, TV = NOPAT(n+1) x (1 - g/RONIC) / (WACC - g), so terminal growth must be funded by reinvestment. Cross-check: exit EV/EBITDA multiple. Blended value weights both (Assumptions!B18).</t>
  </si>
  <si>
    <t xml:space="preserve">Discounting: mid-year convention with a stub period from the valuation date to FY2027 year-end (31-Jan-2027).</t>
  </si>
  <si>
    <t xml:space="preserve">Equity bridge adds cash, marketable securities and (haircut) non-marketable stakes, deducts debt. Operating leases are treated as operating costs.</t>
  </si>
  <si>
    <t xml:space="preserve">Scenarios: Bear / Base / Bull differ in revenue growth, operating margin, terminal growth, RONIC and exit multiple. WACC is common to all scenarios.</t>
  </si>
  <si>
    <t xml:space="preserve">Limitations - read before publishing</t>
  </si>
  <si>
    <t xml:space="preserve">FY2024 historicals come from NVIDIA's FY2025 10-K comparatives and were not re-pulled from the filing here; verify them. They affect only NWC averages and historical ratios.</t>
  </si>
  <si>
    <t xml:space="preserve">Risk-free rate is the latest data point found (30-Jul-2026); beta and ERP are analyst inputs with wide ranges. Refresh Rf and price on the day you present.</t>
  </si>
  <si>
    <t xml:space="preserve">Forecast drivers are analyst assumptions, not company guidance beyond Q3 FY2027. This is an academic/portfolio exercise, not investment advice.</t>
  </si>
  <si>
    <t xml:space="preserve">Balance sheet is as of 26-Jul-2026; cash generated between that date and the valuation date is not added (conservative).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</si>
</sst>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.00"/>
    <numFmt numFmtId="166" formatCode="0.0%;\(0.0%\);\-"/>
    <numFmt numFmtId="167" formatCode="0%"/>
    <numFmt numFmtId="168" formatCode="#,##0"/>
    <numFmt numFmtId="169" formatCode="0.00%"/>
    <numFmt numFmtId="170" formatCode="0.0\x"/>
    <numFmt numFmtId="171" formatCode="#,##0;\(#,##0\);\-"/>
    <numFmt numFmtId="172" formatCode="dd\-mmm\-yyyy"/>
    <numFmt numFmtId="173" formatCode="0.00"/>
    <numFmt numFmtId="174" formatCode="0.0%"/>
    <numFmt numFmtId="175" formatCode="0.000"/>
    <numFmt numFmtId="176" formatCode="0.0000"/>
    <numFmt numFmtId="177" formatCode="0"/>
    <numFmt numFmtId="178" formatCode="#,##0.0000;\(#,##0.000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Value per share vs market price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Summary!$A$17:$A$20</c:f>
              <c:strCache>
                <c:ptCount val="4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  <c:pt idx="3">
                  <c:v>Market price</c:v>
                </c:pt>
              </c:strCache>
            </c:strRef>
          </c:cat>
          <c:val>
            <c:numRef>
              <c:f>Summary!$B$17:$B$20</c:f>
              <c:numCache>
                <c:formatCode>\$#,##0.00</c:formatCode>
                <c:ptCount val="4"/>
                <c:pt idx="0">
                  <c:v>71.803272723717</c:v>
                </c:pt>
                <c:pt idx="1">
                  <c:v>206.980637497195</c:v>
                </c:pt>
                <c:pt idx="2">
                  <c:v>321.381560034744</c:v>
                </c:pt>
                <c:pt idx="3">
                  <c:v>226.32</c:v>
                </c:pt>
              </c:numCache>
            </c:numRef>
          </c:val>
        </c:ser>
        <c:gapWidth val="150"/>
        <c:overlap val="0"/>
        <c:axId val="8014456"/>
        <c:axId val="76218710"/>
      </c:barChart>
      <c:catAx>
        <c:axId val="8014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18710"/>
        <c:crosses val="autoZero"/>
        <c:auto val="1"/>
        <c:lblAlgn val="ctr"/>
        <c:lblOffset val="100"/>
        <c:noMultiLvlLbl val="0"/>
      </c:catAx>
      <c:valAx>
        <c:axId val="762187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44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15</xdr:col>
      <xdr:colOff>147600</xdr:colOff>
      <xdr:row>17</xdr:row>
      <xdr:rowOff>2880</xdr:rowOff>
    </xdr:to>
    <xdr:graphicFrame>
      <xdr:nvGraphicFramePr>
        <xdr:cNvPr id="0" name="Chart 1"/>
        <xdr:cNvGraphicFramePr/>
      </xdr:nvGraphicFramePr>
      <xdr:xfrm>
        <a:off x="9915480" y="571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</row>
    <row r="5" customFormat="false" ht="15" hidden="false" customHeight="false" outlineLevel="0" collapsed="false">
      <c r="A5" s="5" t="s">
        <v>3</v>
      </c>
      <c r="B5" s="6" t="str">
        <f aca="false">Assumptions!B4</f>
        <v>Base</v>
      </c>
    </row>
    <row r="6" customFormat="false" ht="15" hidden="false" customHeight="false" outlineLevel="0" collapsed="false">
      <c r="A6" s="5" t="s">
        <v>4</v>
      </c>
      <c r="B6" s="7" t="n">
        <f aca="false">Assumptions!B9</f>
        <v>226.32</v>
      </c>
    </row>
    <row r="7" customFormat="false" ht="15" hidden="false" customHeight="false" outlineLevel="0" collapsed="false">
      <c r="A7" s="5" t="s">
        <v>5</v>
      </c>
      <c r="B7" s="7" t="n">
        <f aca="false">DCF!B51</f>
        <v>182.811515255286</v>
      </c>
    </row>
    <row r="8" customFormat="false" ht="15" hidden="false" customHeight="false" outlineLevel="0" collapsed="false">
      <c r="A8" s="5" t="s">
        <v>6</v>
      </c>
      <c r="B8" s="7" t="n">
        <f aca="false">DCF!C51</f>
        <v>231.149759739104</v>
      </c>
    </row>
    <row r="9" customFormat="false" ht="15" hidden="false" customHeight="false" outlineLevel="0" collapsed="false">
      <c r="A9" s="8" t="s">
        <v>7</v>
      </c>
      <c r="B9" s="9" t="n">
        <f aca="false">DCF!D51</f>
        <v>206.980637497195</v>
      </c>
    </row>
    <row r="10" customFormat="false" ht="15" hidden="false" customHeight="false" outlineLevel="0" collapsed="false">
      <c r="A10" s="5" t="s">
        <v>8</v>
      </c>
      <c r="B10" s="10" t="n">
        <f aca="false">DCF!D53</f>
        <v>-0.0854514073117926</v>
      </c>
    </row>
    <row r="11" customFormat="false" ht="15" hidden="false" customHeight="false" outlineLevel="0" collapsed="false">
      <c r="A11" s="8" t="s">
        <v>9</v>
      </c>
      <c r="B11" s="11" t="str">
        <f aca="false">DCF!D54</f>
        <v>HOLD</v>
      </c>
    </row>
    <row r="12" customFormat="false" ht="15" hidden="false" customHeight="false" outlineLevel="0" collapsed="false">
      <c r="A12" s="5" t="s">
        <v>10</v>
      </c>
      <c r="B12" s="9" t="n">
        <f aca="false">Scenarios!D8</f>
        <v>201.786526938213</v>
      </c>
    </row>
    <row r="13" customFormat="false" ht="15" hidden="false" customHeight="false" outlineLevel="0" collapsed="false">
      <c r="A13" s="5" t="s">
        <v>11</v>
      </c>
      <c r="B13" s="10" t="n">
        <f aca="false">Scenarios!E8</f>
        <v>-0.10840170140415</v>
      </c>
    </row>
    <row r="14" customFormat="false" ht="15" hidden="false" customHeight="false" outlineLevel="0" collapsed="false">
      <c r="A14" s="5" t="s">
        <v>12</v>
      </c>
      <c r="B14" s="6" t="str">
        <f aca="false">Checks!B16</f>
        <v>ALL CHECKS PASS</v>
      </c>
    </row>
    <row r="16" customFormat="false" ht="15" hidden="false" customHeight="false" outlineLevel="0" collapsed="false">
      <c r="A16" s="3" t="s">
        <v>13</v>
      </c>
      <c r="B16" s="12" t="s">
        <v>14</v>
      </c>
      <c r="C16" s="12" t="s">
        <v>15</v>
      </c>
      <c r="D16" s="12" t="s">
        <v>16</v>
      </c>
      <c r="E16" s="12" t="s">
        <v>17</v>
      </c>
    </row>
    <row r="17" customFormat="false" ht="15" hidden="false" customHeight="false" outlineLevel="0" collapsed="false">
      <c r="A17" s="8" t="s">
        <v>18</v>
      </c>
      <c r="B17" s="13" t="n">
        <f aca="false">Scenarios!D5</f>
        <v>71.803272723717</v>
      </c>
      <c r="C17" s="14" t="n">
        <f aca="false">Scenarios!E5</f>
        <v>-0.682735627767246</v>
      </c>
      <c r="D17" s="15" t="n">
        <f aca="false">Scenarios!F5</f>
        <v>0.25</v>
      </c>
      <c r="E17" s="16" t="n">
        <f aca="false">Scenarios!B33/1000</f>
        <v>591.294321194181</v>
      </c>
    </row>
    <row r="18" customFormat="false" ht="15" hidden="false" customHeight="false" outlineLevel="0" collapsed="false">
      <c r="A18" s="8" t="s">
        <v>19</v>
      </c>
      <c r="B18" s="13" t="n">
        <f aca="false">Scenarios!D6</f>
        <v>206.980637497195</v>
      </c>
      <c r="C18" s="14" t="n">
        <f aca="false">Scenarios!E6</f>
        <v>-0.0854514073117925</v>
      </c>
      <c r="D18" s="15" t="n">
        <f aca="false">Scenarios!F6</f>
        <v>0.5</v>
      </c>
      <c r="E18" s="16" t="n">
        <f aca="false">Scenarios!B55/1000</f>
        <v>1356.437365082</v>
      </c>
    </row>
    <row r="19" customFormat="false" ht="15" hidden="false" customHeight="false" outlineLevel="0" collapsed="false">
      <c r="A19" s="8" t="s">
        <v>20</v>
      </c>
      <c r="B19" s="13" t="n">
        <f aca="false">Scenarios!D7</f>
        <v>321.381560034744</v>
      </c>
      <c r="C19" s="14" t="n">
        <f aca="false">Scenarios!E7</f>
        <v>0.420031636774232</v>
      </c>
      <c r="D19" s="15" t="n">
        <f aca="false">Scenarios!F7</f>
        <v>0.25</v>
      </c>
      <c r="E19" s="16" t="n">
        <f aca="false">Scenarios!B77/1000</f>
        <v>1781.90037135689</v>
      </c>
    </row>
    <row r="20" customFormat="false" ht="15" hidden="false" customHeight="false" outlineLevel="0" collapsed="false">
      <c r="A20" s="8" t="s">
        <v>21</v>
      </c>
      <c r="B20" s="13" t="n">
        <f aca="false">Assumptions!B9</f>
        <v>226.32</v>
      </c>
    </row>
    <row r="22" customFormat="false" ht="15" hidden="false" customHeight="false" outlineLevel="0" collapsed="false">
      <c r="A22" s="3" t="s">
        <v>22</v>
      </c>
      <c r="B22" s="4"/>
      <c r="C22" s="4"/>
      <c r="D22" s="4"/>
    </row>
    <row r="23" customFormat="false" ht="15" hidden="false" customHeight="false" outlineLevel="0" collapsed="false">
      <c r="A23" s="5" t="s">
        <v>23</v>
      </c>
      <c r="B23" s="17" t="n">
        <f aca="false">DCF!B14</f>
        <v>0.118529337953748</v>
      </c>
    </row>
    <row r="24" customFormat="false" ht="15" hidden="false" customHeight="false" outlineLevel="0" collapsed="false">
      <c r="A24" s="5" t="s">
        <v>24</v>
      </c>
      <c r="B24" s="17" t="n">
        <f aca="false">WACC!B7</f>
        <v>0.119</v>
      </c>
    </row>
    <row r="25" customFormat="false" ht="15" hidden="false" customHeight="false" outlineLevel="0" collapsed="false">
      <c r="A25" s="5" t="s">
        <v>25</v>
      </c>
      <c r="B25" s="17" t="n">
        <f aca="false">DCF!B16</f>
        <v>0.035</v>
      </c>
    </row>
    <row r="26" customFormat="false" ht="15" hidden="false" customHeight="false" outlineLevel="0" collapsed="false">
      <c r="A26" s="5" t="s">
        <v>26</v>
      </c>
      <c r="B26" s="18" t="n">
        <f aca="false">DCF!B18</f>
        <v>14</v>
      </c>
    </row>
    <row r="27" customFormat="false" ht="15" hidden="false" customHeight="false" outlineLevel="0" collapsed="false">
      <c r="A27" s="5" t="s">
        <v>27</v>
      </c>
      <c r="B27" s="19" t="n">
        <f aca="false">DCF!B17</f>
        <v>0.3</v>
      </c>
    </row>
    <row r="28" customFormat="false" ht="15" hidden="false" customHeight="false" outlineLevel="0" collapsed="false">
      <c r="A28" s="5" t="s">
        <v>28</v>
      </c>
      <c r="B28" s="20" t="n">
        <f aca="false">Forecast!E7</f>
        <v>403804.06</v>
      </c>
    </row>
    <row r="29" customFormat="false" ht="15" hidden="false" customHeight="false" outlineLevel="0" collapsed="false">
      <c r="A29" s="5" t="s">
        <v>29</v>
      </c>
      <c r="B29" s="20" t="n">
        <f aca="false">Forecast!H7</f>
        <v>821943.16413</v>
      </c>
    </row>
    <row r="30" customFormat="false" ht="15" hidden="false" customHeight="false" outlineLevel="0" collapsed="false">
      <c r="A30" s="5" t="s">
        <v>30</v>
      </c>
      <c r="B30" s="20" t="n">
        <f aca="false">Forecast!N7</f>
        <v>1356437.365082</v>
      </c>
    </row>
    <row r="31" customFormat="false" ht="15" hidden="false" customHeight="false" outlineLevel="0" collapsed="false">
      <c r="A31" s="5" t="s">
        <v>31</v>
      </c>
      <c r="B31" s="21" t="n">
        <f aca="false">Forecast!N8</f>
        <v>0.47</v>
      </c>
    </row>
    <row r="32" customFormat="false" ht="15" hidden="false" customHeight="false" outlineLevel="0" collapsed="false">
      <c r="A32" s="5" t="s">
        <v>32</v>
      </c>
      <c r="B32" s="21" t="n">
        <f aca="false">DCF!B30</f>
        <v>0.486446564331499</v>
      </c>
    </row>
    <row r="33" customFormat="false" ht="15" hidden="false" customHeight="false" outlineLevel="0" collapsed="false">
      <c r="A33" s="5" t="s">
        <v>33</v>
      </c>
      <c r="B33" s="21" t="n">
        <f aca="false">ReverseDCF!B25</f>
        <v>0.197164987677376</v>
      </c>
    </row>
    <row r="34" customFormat="false" ht="15" hidden="false" customHeight="false" outlineLevel="0" collapsed="false">
      <c r="A34" s="5" t="s">
        <v>34</v>
      </c>
      <c r="B34" s="21" t="n">
        <f aca="false">ReverseDCF!B4</f>
        <v>0.144115570198795</v>
      </c>
    </row>
    <row r="36" customFormat="false" ht="15" hidden="false" customHeight="false" outlineLevel="0" collapsed="false">
      <c r="A36" s="3" t="s">
        <v>35</v>
      </c>
      <c r="B36" s="4"/>
      <c r="C36" s="4"/>
      <c r="D36" s="4"/>
      <c r="E36" s="4"/>
      <c r="F36" s="4"/>
    </row>
    <row r="37" customFormat="false" ht="39.75" hidden="false" customHeight="true" outlineLevel="0" collapsed="false">
      <c r="A37" s="22" t="s">
        <v>36</v>
      </c>
      <c r="B37" s="22"/>
      <c r="C37" s="22"/>
      <c r="D37" s="22"/>
      <c r="E37" s="22"/>
      <c r="F37" s="22"/>
    </row>
    <row r="38" customFormat="false" ht="39.75" hidden="false" customHeight="true" outlineLevel="0" collapsed="false">
      <c r="A38" s="22" t="s">
        <v>37</v>
      </c>
      <c r="B38" s="22"/>
      <c r="C38" s="22"/>
      <c r="D38" s="22"/>
      <c r="E38" s="22"/>
      <c r="F38" s="22"/>
    </row>
    <row r="39" customFormat="false" ht="39.75" hidden="false" customHeight="true" outlineLevel="0" collapsed="false">
      <c r="A39" s="22" t="s">
        <v>38</v>
      </c>
      <c r="B39" s="22"/>
      <c r="C39" s="22"/>
      <c r="D39" s="22"/>
      <c r="E39" s="22"/>
      <c r="F39" s="22"/>
    </row>
    <row r="40" customFormat="false" ht="39.75" hidden="false" customHeight="true" outlineLevel="0" collapsed="false">
      <c r="A40" s="22" t="s">
        <v>39</v>
      </c>
      <c r="B40" s="22"/>
      <c r="C40" s="22"/>
      <c r="D40" s="22"/>
      <c r="E40" s="22"/>
      <c r="F40" s="22"/>
    </row>
    <row r="41" customFormat="false" ht="39.75" hidden="false" customHeight="true" outlineLevel="0" collapsed="false">
      <c r="A41" s="22" t="s">
        <v>40</v>
      </c>
      <c r="B41" s="22"/>
      <c r="C41" s="22"/>
      <c r="D41" s="22"/>
      <c r="E41" s="22"/>
      <c r="F41" s="22"/>
    </row>
  </sheetData>
  <mergeCells count="5">
    <mergeCell ref="A37:F37"/>
    <mergeCell ref="A38:F38"/>
    <mergeCell ref="A39:F39"/>
    <mergeCell ref="A40:F40"/>
    <mergeCell ref="A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4"/>
    <col collapsed="false" customWidth="true" hidden="false" outlineLevel="0" max="14" min="6" style="0" width="11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3" customFormat="false" ht="15" hidden="false" customHeight="false" outlineLevel="0" collapsed="false">
      <c r="A3" s="8" t="s">
        <v>43</v>
      </c>
      <c r="B3" s="23" t="n">
        <v>2</v>
      </c>
      <c r="C3" s="2" t="s">
        <v>44</v>
      </c>
    </row>
    <row r="4" customFormat="false" ht="15" hidden="false" customHeight="false" outlineLevel="0" collapsed="false">
      <c r="A4" s="5" t="s">
        <v>3</v>
      </c>
      <c r="B4" s="8" t="str">
        <f aca="false">CHOOSE(B3,"Bear","Base","Bull")</f>
        <v>Base</v>
      </c>
    </row>
    <row r="6" customFormat="false" ht="15" hidden="false" customHeight="false" outlineLevel="0" collapsed="false">
      <c r="A6" s="3" t="s">
        <v>45</v>
      </c>
      <c r="B6" s="4"/>
      <c r="C6" s="4"/>
    </row>
    <row r="7" customFormat="false" ht="15" hidden="false" customHeight="false" outlineLevel="0" collapsed="false">
      <c r="A7" s="5" t="s">
        <v>46</v>
      </c>
      <c r="B7" s="24" t="n">
        <v>46308</v>
      </c>
      <c r="C7" s="2" t="s">
        <v>47</v>
      </c>
    </row>
    <row r="8" customFormat="false" ht="15" hidden="false" customHeight="false" outlineLevel="0" collapsed="false">
      <c r="A8" s="5" t="s">
        <v>48</v>
      </c>
      <c r="B8" s="24" t="n">
        <v>46418</v>
      </c>
      <c r="C8" s="2" t="s">
        <v>49</v>
      </c>
    </row>
    <row r="9" customFormat="false" ht="15" hidden="false" customHeight="false" outlineLevel="0" collapsed="false">
      <c r="A9" s="5" t="s">
        <v>50</v>
      </c>
      <c r="B9" s="25" t="n">
        <v>226.32</v>
      </c>
      <c r="C9" s="2" t="s">
        <v>51</v>
      </c>
    </row>
    <row r="10" customFormat="false" ht="15" hidden="false" customHeight="false" outlineLevel="0" collapsed="false">
      <c r="A10" s="5" t="s">
        <v>52</v>
      </c>
      <c r="B10" s="26" t="n">
        <v>24285</v>
      </c>
      <c r="C10" s="2" t="s">
        <v>53</v>
      </c>
    </row>
    <row r="11" customFormat="false" ht="15" hidden="false" customHeight="false" outlineLevel="0" collapsed="false">
      <c r="A11" s="5" t="s">
        <v>54</v>
      </c>
      <c r="B11" s="27" t="n">
        <v>0.047</v>
      </c>
      <c r="C11" s="2" t="s">
        <v>55</v>
      </c>
    </row>
    <row r="12" customFormat="false" ht="15" hidden="false" customHeight="false" outlineLevel="0" collapsed="false">
      <c r="A12" s="5" t="s">
        <v>56</v>
      </c>
      <c r="B12" s="27" t="n">
        <v>0.045</v>
      </c>
      <c r="C12" s="2" t="s">
        <v>57</v>
      </c>
    </row>
    <row r="13" customFormat="false" ht="15" hidden="false" customHeight="false" outlineLevel="0" collapsed="false">
      <c r="A13" s="5" t="s">
        <v>58</v>
      </c>
      <c r="B13" s="28" t="n">
        <v>1.6</v>
      </c>
      <c r="C13" s="2" t="s">
        <v>59</v>
      </c>
    </row>
    <row r="14" customFormat="false" ht="15" hidden="false" customHeight="false" outlineLevel="0" collapsed="false">
      <c r="A14" s="5" t="s">
        <v>60</v>
      </c>
      <c r="B14" s="29" t="n">
        <v>0.05</v>
      </c>
      <c r="C14" s="2" t="s">
        <v>61</v>
      </c>
    </row>
    <row r="15" customFormat="false" ht="15" hidden="false" customHeight="false" outlineLevel="0" collapsed="false">
      <c r="A15" s="5" t="s">
        <v>62</v>
      </c>
      <c r="B15" s="30" t="n">
        <v>0.18</v>
      </c>
      <c r="C15" s="2" t="s">
        <v>63</v>
      </c>
    </row>
    <row r="16" customFormat="false" ht="15" hidden="false" customHeight="false" outlineLevel="0" collapsed="false">
      <c r="A16" s="5" t="s">
        <v>64</v>
      </c>
      <c r="B16" s="31" t="n">
        <v>1</v>
      </c>
      <c r="C16" s="2" t="s">
        <v>65</v>
      </c>
    </row>
    <row r="17" customFormat="false" ht="15" hidden="false" customHeight="false" outlineLevel="0" collapsed="false">
      <c r="A17" s="5" t="s">
        <v>66</v>
      </c>
      <c r="B17" s="31" t="n">
        <v>0.75</v>
      </c>
      <c r="C17" s="2" t="s">
        <v>67</v>
      </c>
    </row>
    <row r="18" customFormat="false" ht="15" hidden="false" customHeight="false" outlineLevel="0" collapsed="false">
      <c r="A18" s="5" t="s">
        <v>68</v>
      </c>
      <c r="B18" s="31" t="n">
        <v>0.5</v>
      </c>
      <c r="C18" s="2" t="s">
        <v>69</v>
      </c>
    </row>
    <row r="19" customFormat="false" ht="15" hidden="false" customHeight="false" outlineLevel="0" collapsed="false">
      <c r="A19" s="5" t="s">
        <v>70</v>
      </c>
      <c r="B19" s="31" t="n">
        <v>0.25</v>
      </c>
      <c r="C19" s="2" t="s">
        <v>71</v>
      </c>
    </row>
    <row r="20" customFormat="false" ht="15" hidden="false" customHeight="false" outlineLevel="0" collapsed="false">
      <c r="A20" s="5" t="s">
        <v>72</v>
      </c>
      <c r="B20" s="31" t="n">
        <v>0.5</v>
      </c>
      <c r="C20" s="2" t="s">
        <v>71</v>
      </c>
    </row>
    <row r="21" customFormat="false" ht="15" hidden="false" customHeight="false" outlineLevel="0" collapsed="false">
      <c r="A21" s="5" t="s">
        <v>73</v>
      </c>
      <c r="B21" s="31" t="n">
        <v>0.25</v>
      </c>
      <c r="C21" s="2" t="s">
        <v>71</v>
      </c>
    </row>
    <row r="22" customFormat="false" ht="15" hidden="false" customHeight="false" outlineLevel="0" collapsed="false">
      <c r="A22" s="5" t="s">
        <v>74</v>
      </c>
      <c r="B22" s="14" t="n">
        <f aca="false">AVERAGE(Historicals!B64:D64)</f>
        <v>0.146551027291146</v>
      </c>
      <c r="C22" s="2" t="s">
        <v>75</v>
      </c>
    </row>
    <row r="23" customFormat="false" ht="15" hidden="false" customHeight="false" outlineLevel="0" collapsed="false">
      <c r="A23" s="5" t="s">
        <v>76</v>
      </c>
      <c r="B23" s="31" t="n">
        <v>0.15</v>
      </c>
      <c r="C23" s="2" t="s">
        <v>77</v>
      </c>
    </row>
    <row r="24" customFormat="false" ht="15" hidden="false" customHeight="false" outlineLevel="0" collapsed="false">
      <c r="A24" s="5" t="s">
        <v>78</v>
      </c>
      <c r="B24" s="26" t="n">
        <v>108000</v>
      </c>
      <c r="C24" s="2" t="s">
        <v>79</v>
      </c>
    </row>
    <row r="26" customFormat="false" ht="15" hidden="false" customHeight="false" outlineLevel="0" collapsed="false">
      <c r="A26" s="3" t="s">
        <v>80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customFormat="false" ht="15" hidden="false" customHeight="false" outlineLevel="0" collapsed="false">
      <c r="A27" s="8" t="s">
        <v>81</v>
      </c>
      <c r="E27" s="32" t="s">
        <v>82</v>
      </c>
      <c r="F27" s="32" t="s">
        <v>83</v>
      </c>
      <c r="G27" s="32" t="s">
        <v>84</v>
      </c>
      <c r="H27" s="32" t="s">
        <v>85</v>
      </c>
      <c r="I27" s="32" t="s">
        <v>86</v>
      </c>
      <c r="J27" s="32" t="s">
        <v>87</v>
      </c>
      <c r="K27" s="32" t="s">
        <v>88</v>
      </c>
      <c r="L27" s="32" t="s">
        <v>89</v>
      </c>
      <c r="M27" s="32" t="s">
        <v>90</v>
      </c>
      <c r="N27" s="32" t="s">
        <v>91</v>
      </c>
    </row>
    <row r="28" customFormat="false" ht="15" hidden="false" customHeight="false" outlineLevel="0" collapsed="false">
      <c r="A28" s="5" t="s">
        <v>92</v>
      </c>
      <c r="E28" s="30" t="n">
        <v>0.8</v>
      </c>
      <c r="F28" s="30" t="n">
        <v>0.15</v>
      </c>
      <c r="G28" s="30" t="n">
        <v>0.05</v>
      </c>
      <c r="H28" s="30" t="n">
        <v>0.02</v>
      </c>
      <c r="I28" s="30" t="n">
        <v>0.03</v>
      </c>
      <c r="J28" s="30" t="n">
        <v>0.04</v>
      </c>
      <c r="K28" s="30" t="n">
        <v>0.04</v>
      </c>
      <c r="L28" s="30" t="n">
        <v>0.04</v>
      </c>
      <c r="M28" s="30" t="n">
        <v>0.035</v>
      </c>
      <c r="N28" s="30" t="n">
        <v>0.03</v>
      </c>
    </row>
    <row r="29" customFormat="false" ht="15" hidden="false" customHeight="false" outlineLevel="0" collapsed="false">
      <c r="A29" s="5" t="s">
        <v>93</v>
      </c>
      <c r="E29" s="33" t="n">
        <v>0.87</v>
      </c>
      <c r="F29" s="33" t="n">
        <v>0.38</v>
      </c>
      <c r="G29" s="33" t="n">
        <v>0.25</v>
      </c>
      <c r="H29" s="33" t="n">
        <v>0.18</v>
      </c>
      <c r="I29" s="33" t="n">
        <v>0.14</v>
      </c>
      <c r="J29" s="33" t="n">
        <v>0.11</v>
      </c>
      <c r="K29" s="33" t="n">
        <v>0.09</v>
      </c>
      <c r="L29" s="33" t="n">
        <v>0.075</v>
      </c>
      <c r="M29" s="33" t="n">
        <v>0.06</v>
      </c>
      <c r="N29" s="33" t="n">
        <v>0.05</v>
      </c>
    </row>
    <row r="30" customFormat="false" ht="15" hidden="false" customHeight="false" outlineLevel="0" collapsed="false">
      <c r="A30" s="5" t="s">
        <v>94</v>
      </c>
      <c r="E30" s="30" t="n">
        <v>0.92</v>
      </c>
      <c r="F30" s="30" t="n">
        <v>0.5</v>
      </c>
      <c r="G30" s="30" t="n">
        <v>0.32</v>
      </c>
      <c r="H30" s="30" t="n">
        <v>0.23</v>
      </c>
      <c r="I30" s="30" t="n">
        <v>0.17</v>
      </c>
      <c r="J30" s="30" t="n">
        <v>0.13</v>
      </c>
      <c r="K30" s="30" t="n">
        <v>0.1</v>
      </c>
      <c r="L30" s="30" t="n">
        <v>0.08</v>
      </c>
      <c r="M30" s="30" t="n">
        <v>0.065</v>
      </c>
      <c r="N30" s="30" t="n">
        <v>0.055</v>
      </c>
    </row>
    <row r="31" customFormat="false" ht="15" hidden="false" customHeight="false" outlineLevel="0" collapsed="false">
      <c r="A31" s="8" t="s">
        <v>95</v>
      </c>
      <c r="E31" s="34" t="n">
        <f aca="false">CHOOSE($B$3,E28,E29,E30)</f>
        <v>0.87</v>
      </c>
      <c r="F31" s="34" t="n">
        <f aca="false">CHOOSE($B$3,F28,F29,F30)</f>
        <v>0.38</v>
      </c>
      <c r="G31" s="34" t="n">
        <f aca="false">CHOOSE($B$3,G28,G29,G30)</f>
        <v>0.25</v>
      </c>
      <c r="H31" s="34" t="n">
        <f aca="false">CHOOSE($B$3,H28,H29,H30)</f>
        <v>0.18</v>
      </c>
      <c r="I31" s="34" t="n">
        <f aca="false">CHOOSE($B$3,I28,I29,I30)</f>
        <v>0.14</v>
      </c>
      <c r="J31" s="34" t="n">
        <f aca="false">CHOOSE($B$3,J28,J29,J30)</f>
        <v>0.11</v>
      </c>
      <c r="K31" s="34" t="n">
        <f aca="false">CHOOSE($B$3,K28,K29,K30)</f>
        <v>0.09</v>
      </c>
      <c r="L31" s="34" t="n">
        <f aca="false">CHOOSE($B$3,L28,L29,L30)</f>
        <v>0.075</v>
      </c>
      <c r="M31" s="34" t="n">
        <f aca="false">CHOOSE($B$3,M28,M29,M30)</f>
        <v>0.06</v>
      </c>
      <c r="N31" s="34" t="n">
        <f aca="false">CHOOSE($B$3,N28,N29,N30)</f>
        <v>0.05</v>
      </c>
    </row>
    <row r="32" customFormat="false" ht="15" hidden="false" customHeight="false" outlineLevel="0" collapsed="false">
      <c r="A32" s="2" t="s">
        <v>96</v>
      </c>
    </row>
    <row r="34" customFormat="false" ht="15" hidden="false" customHeight="false" outlineLevel="0" collapsed="false">
      <c r="A34" s="8" t="s">
        <v>97</v>
      </c>
      <c r="E34" s="32" t="s">
        <v>82</v>
      </c>
      <c r="F34" s="32" t="s">
        <v>83</v>
      </c>
      <c r="G34" s="32" t="s">
        <v>84</v>
      </c>
      <c r="H34" s="32" t="s">
        <v>85</v>
      </c>
      <c r="I34" s="32" t="s">
        <v>86</v>
      </c>
      <c r="J34" s="32" t="s">
        <v>87</v>
      </c>
      <c r="K34" s="32" t="s">
        <v>88</v>
      </c>
      <c r="L34" s="32" t="s">
        <v>89</v>
      </c>
      <c r="M34" s="32" t="s">
        <v>90</v>
      </c>
      <c r="N34" s="32" t="s">
        <v>91</v>
      </c>
    </row>
    <row r="35" customFormat="false" ht="15" hidden="false" customHeight="false" outlineLevel="0" collapsed="false">
      <c r="A35" s="5" t="s">
        <v>92</v>
      </c>
      <c r="E35" s="30" t="n">
        <v>0.64</v>
      </c>
      <c r="F35" s="30" t="n">
        <v>0.58</v>
      </c>
      <c r="G35" s="30" t="n">
        <v>0.52</v>
      </c>
      <c r="H35" s="30" t="n">
        <v>0.46</v>
      </c>
      <c r="I35" s="30" t="n">
        <v>0.42</v>
      </c>
      <c r="J35" s="30" t="n">
        <v>0.39</v>
      </c>
      <c r="K35" s="30" t="n">
        <v>0.37</v>
      </c>
      <c r="L35" s="30" t="n">
        <v>0.35</v>
      </c>
      <c r="M35" s="30" t="n">
        <v>0.34</v>
      </c>
      <c r="N35" s="30" t="n">
        <v>0.33</v>
      </c>
    </row>
    <row r="36" customFormat="false" ht="15" hidden="false" customHeight="false" outlineLevel="0" collapsed="false">
      <c r="A36" s="5" t="s">
        <v>93</v>
      </c>
      <c r="E36" s="33" t="n">
        <v>0.65</v>
      </c>
      <c r="F36" s="33" t="n">
        <v>0.64</v>
      </c>
      <c r="G36" s="33" t="n">
        <v>0.62</v>
      </c>
      <c r="H36" s="33" t="n">
        <v>0.6</v>
      </c>
      <c r="I36" s="33" t="n">
        <v>0.58</v>
      </c>
      <c r="J36" s="33" t="n">
        <v>0.55</v>
      </c>
      <c r="K36" s="33" t="n">
        <v>0.53</v>
      </c>
      <c r="L36" s="33" t="n">
        <v>0.51</v>
      </c>
      <c r="M36" s="33" t="n">
        <v>0.49</v>
      </c>
      <c r="N36" s="33" t="n">
        <v>0.47</v>
      </c>
    </row>
    <row r="37" customFormat="false" ht="15" hidden="false" customHeight="false" outlineLevel="0" collapsed="false">
      <c r="A37" s="5" t="s">
        <v>94</v>
      </c>
      <c r="E37" s="30" t="n">
        <v>0.66</v>
      </c>
      <c r="F37" s="30" t="n">
        <v>0.66</v>
      </c>
      <c r="G37" s="30" t="n">
        <v>0.65</v>
      </c>
      <c r="H37" s="30" t="n">
        <v>0.64</v>
      </c>
      <c r="I37" s="30" t="n">
        <v>0.62</v>
      </c>
      <c r="J37" s="30" t="n">
        <v>0.6</v>
      </c>
      <c r="K37" s="30" t="n">
        <v>0.58</v>
      </c>
      <c r="L37" s="30" t="n">
        <v>0.56</v>
      </c>
      <c r="M37" s="30" t="n">
        <v>0.54</v>
      </c>
      <c r="N37" s="30" t="n">
        <v>0.52</v>
      </c>
    </row>
    <row r="38" customFormat="false" ht="15" hidden="false" customHeight="false" outlineLevel="0" collapsed="false">
      <c r="A38" s="8" t="s">
        <v>95</v>
      </c>
      <c r="E38" s="34" t="n">
        <f aca="false">CHOOSE($B$3,E35,E36,E37)</f>
        <v>0.65</v>
      </c>
      <c r="F38" s="34" t="n">
        <f aca="false">CHOOSE($B$3,F35,F36,F37)</f>
        <v>0.64</v>
      </c>
      <c r="G38" s="34" t="n">
        <f aca="false">CHOOSE($B$3,G35,G36,G37)</f>
        <v>0.62</v>
      </c>
      <c r="H38" s="34" t="n">
        <f aca="false">CHOOSE($B$3,H35,H36,H37)</f>
        <v>0.6</v>
      </c>
      <c r="I38" s="34" t="n">
        <f aca="false">CHOOSE($B$3,I35,I36,I37)</f>
        <v>0.58</v>
      </c>
      <c r="J38" s="34" t="n">
        <f aca="false">CHOOSE($B$3,J35,J36,J37)</f>
        <v>0.55</v>
      </c>
      <c r="K38" s="34" t="n">
        <f aca="false">CHOOSE($B$3,K35,K36,K37)</f>
        <v>0.53</v>
      </c>
      <c r="L38" s="34" t="n">
        <f aca="false">CHOOSE($B$3,L35,L36,L37)</f>
        <v>0.51</v>
      </c>
      <c r="M38" s="34" t="n">
        <f aca="false">CHOOSE($B$3,M35,M36,M37)</f>
        <v>0.49</v>
      </c>
      <c r="N38" s="34" t="n">
        <f aca="false">CHOOSE($B$3,N35,N36,N37)</f>
        <v>0.47</v>
      </c>
    </row>
    <row r="39" customFormat="false" ht="15" hidden="false" customHeight="false" outlineLevel="0" collapsed="false">
      <c r="A39" s="2" t="s">
        <v>98</v>
      </c>
    </row>
    <row r="41" customFormat="false" ht="15" hidden="false" customHeight="false" outlineLevel="0" collapsed="false">
      <c r="A41" s="8" t="s">
        <v>99</v>
      </c>
      <c r="E41" s="32" t="s">
        <v>82</v>
      </c>
      <c r="F41" s="32" t="s">
        <v>83</v>
      </c>
      <c r="G41" s="32" t="s">
        <v>84</v>
      </c>
      <c r="H41" s="32" t="s">
        <v>85</v>
      </c>
      <c r="I41" s="32" t="s">
        <v>86</v>
      </c>
      <c r="J41" s="32" t="s">
        <v>87</v>
      </c>
      <c r="K41" s="32" t="s">
        <v>88</v>
      </c>
      <c r="L41" s="32" t="s">
        <v>89</v>
      </c>
      <c r="M41" s="32" t="s">
        <v>90</v>
      </c>
      <c r="N41" s="32" t="s">
        <v>91</v>
      </c>
    </row>
    <row r="42" customFormat="false" ht="15" hidden="false" customHeight="false" outlineLevel="0" collapsed="false">
      <c r="A42" s="5" t="s">
        <v>100</v>
      </c>
      <c r="E42" s="30" t="n">
        <v>0.17</v>
      </c>
      <c r="F42" s="30" t="n">
        <v>0.18</v>
      </c>
      <c r="G42" s="30" t="n">
        <v>0.18</v>
      </c>
      <c r="H42" s="30" t="n">
        <v>0.18</v>
      </c>
      <c r="I42" s="30" t="n">
        <v>0.18</v>
      </c>
      <c r="J42" s="30" t="n">
        <v>0.19</v>
      </c>
      <c r="K42" s="30" t="n">
        <v>0.19</v>
      </c>
      <c r="L42" s="30" t="n">
        <v>0.19</v>
      </c>
      <c r="M42" s="30" t="n">
        <v>0.19</v>
      </c>
      <c r="N42" s="30" t="n">
        <v>0.19</v>
      </c>
    </row>
    <row r="43" customFormat="false" ht="15" hidden="false" customHeight="false" outlineLevel="0" collapsed="false">
      <c r="A43" s="5" t="s">
        <v>101</v>
      </c>
      <c r="E43" s="30" t="n">
        <v>0.012</v>
      </c>
      <c r="F43" s="30" t="n">
        <v>0.012</v>
      </c>
      <c r="G43" s="30" t="n">
        <v>0.013</v>
      </c>
      <c r="H43" s="30" t="n">
        <v>0.014</v>
      </c>
      <c r="I43" s="30" t="n">
        <v>0.015</v>
      </c>
      <c r="J43" s="30" t="n">
        <v>0.016</v>
      </c>
      <c r="K43" s="30" t="n">
        <v>0.017</v>
      </c>
      <c r="L43" s="30" t="n">
        <v>0.018</v>
      </c>
      <c r="M43" s="30" t="n">
        <v>0.019</v>
      </c>
      <c r="N43" s="30" t="n">
        <v>0.02</v>
      </c>
    </row>
    <row r="44" customFormat="false" ht="15" hidden="false" customHeight="false" outlineLevel="0" collapsed="false">
      <c r="A44" s="5" t="s">
        <v>102</v>
      </c>
      <c r="E44" s="30" t="n">
        <v>0.025</v>
      </c>
      <c r="F44" s="30" t="n">
        <v>0.026</v>
      </c>
      <c r="G44" s="30" t="n">
        <v>0.026</v>
      </c>
      <c r="H44" s="30" t="n">
        <v>0.026</v>
      </c>
      <c r="I44" s="30" t="n">
        <v>0.026</v>
      </c>
      <c r="J44" s="30" t="n">
        <v>0.025</v>
      </c>
      <c r="K44" s="30" t="n">
        <v>0.025</v>
      </c>
      <c r="L44" s="30" t="n">
        <v>0.024</v>
      </c>
      <c r="M44" s="30" t="n">
        <v>0.024</v>
      </c>
      <c r="N44" s="30" t="n">
        <v>0.024</v>
      </c>
    </row>
    <row r="45" customFormat="false" ht="15" hidden="false" customHeight="false" outlineLevel="0" collapsed="false">
      <c r="A45" s="2" t="s">
        <v>103</v>
      </c>
    </row>
    <row r="47" customFormat="false" ht="15" hidden="false" customHeight="false" outlineLevel="0" collapsed="false">
      <c r="A47" s="3" t="s">
        <v>104</v>
      </c>
      <c r="B47" s="4"/>
      <c r="C47" s="4"/>
      <c r="D47" s="4"/>
      <c r="E47" s="4"/>
    </row>
    <row r="48" customFormat="false" ht="15" hidden="false" customHeight="false" outlineLevel="0" collapsed="false">
      <c r="B48" s="32" t="s">
        <v>18</v>
      </c>
      <c r="C48" s="32" t="s">
        <v>19</v>
      </c>
      <c r="D48" s="32" t="s">
        <v>20</v>
      </c>
      <c r="E48" s="32" t="s">
        <v>105</v>
      </c>
    </row>
    <row r="49" customFormat="false" ht="15" hidden="false" customHeight="false" outlineLevel="0" collapsed="false">
      <c r="A49" s="5" t="s">
        <v>106</v>
      </c>
      <c r="B49" s="29" t="n">
        <v>0.03</v>
      </c>
      <c r="C49" s="27" t="n">
        <v>0.035</v>
      </c>
      <c r="D49" s="29" t="n">
        <v>0.04</v>
      </c>
      <c r="E49" s="35" t="n">
        <f aca="false">CHOOSE($B$3,B49,C49,D49)</f>
        <v>0.035</v>
      </c>
    </row>
    <row r="50" customFormat="false" ht="15" hidden="false" customHeight="false" outlineLevel="0" collapsed="false">
      <c r="A50" s="5" t="s">
        <v>107</v>
      </c>
      <c r="B50" s="31" t="n">
        <v>0.2</v>
      </c>
      <c r="C50" s="36" t="n">
        <v>0.3</v>
      </c>
      <c r="D50" s="31" t="n">
        <v>0.4</v>
      </c>
      <c r="E50" s="37" t="n">
        <f aca="false">CHOOSE($B$3,B50,C50,D50)</f>
        <v>0.3</v>
      </c>
    </row>
    <row r="51" customFormat="false" ht="15" hidden="false" customHeight="false" outlineLevel="0" collapsed="false">
      <c r="A51" s="5" t="s">
        <v>108</v>
      </c>
      <c r="B51" s="38" t="n">
        <v>10</v>
      </c>
      <c r="C51" s="39" t="n">
        <v>14</v>
      </c>
      <c r="D51" s="38" t="n">
        <v>18</v>
      </c>
      <c r="E51" s="40" t="n">
        <f aca="false">CHOOSE($B$3,B51,C51,D51)</f>
        <v>14</v>
      </c>
    </row>
    <row r="52" customFormat="false" ht="15" hidden="false" customHeight="false" outlineLevel="0" collapsed="false">
      <c r="A52" s="2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2" t="s">
        <v>111</v>
      </c>
    </row>
    <row r="4" customFormat="false" ht="15" hidden="false" customHeight="false" outlineLevel="0" collapsed="false">
      <c r="A4" s="3" t="s">
        <v>112</v>
      </c>
      <c r="B4" s="12" t="s">
        <v>113</v>
      </c>
      <c r="C4" s="12" t="s">
        <v>114</v>
      </c>
      <c r="D4" s="12" t="s">
        <v>115</v>
      </c>
      <c r="E4" s="12" t="s">
        <v>116</v>
      </c>
    </row>
    <row r="6" customFormat="false" ht="15" hidden="false" customHeight="false" outlineLevel="0" collapsed="false">
      <c r="A6" s="5" t="s">
        <v>117</v>
      </c>
      <c r="B6" s="26" t="n">
        <v>60922</v>
      </c>
      <c r="C6" s="26" t="n">
        <v>130497</v>
      </c>
      <c r="D6" s="26" t="n">
        <v>215938</v>
      </c>
      <c r="E6" s="26" t="n">
        <v>177837</v>
      </c>
    </row>
    <row r="7" customFormat="false" ht="15" hidden="false" customHeight="false" outlineLevel="0" collapsed="false">
      <c r="A7" s="5" t="s">
        <v>118</v>
      </c>
      <c r="B7" s="26" t="n">
        <v>16621</v>
      </c>
      <c r="C7" s="26" t="n">
        <v>32639</v>
      </c>
      <c r="D7" s="26" t="n">
        <v>62475</v>
      </c>
      <c r="E7" s="26" t="n">
        <v>44538</v>
      </c>
    </row>
    <row r="8" customFormat="false" ht="15" hidden="false" customHeight="false" outlineLevel="0" collapsed="false">
      <c r="A8" s="5" t="s">
        <v>119</v>
      </c>
      <c r="B8" s="41" t="n">
        <f aca="false">B6-B7</f>
        <v>44301</v>
      </c>
      <c r="C8" s="41" t="n">
        <f aca="false">C6-C7</f>
        <v>97858</v>
      </c>
      <c r="D8" s="41" t="n">
        <f aca="false">D6-D7</f>
        <v>153463</v>
      </c>
      <c r="E8" s="41" t="n">
        <f aca="false">E6-E7</f>
        <v>133299</v>
      </c>
    </row>
    <row r="9" customFormat="false" ht="15" hidden="false" customHeight="false" outlineLevel="0" collapsed="false">
      <c r="A9" s="5" t="s">
        <v>120</v>
      </c>
      <c r="B9" s="26" t="n">
        <v>8675</v>
      </c>
      <c r="C9" s="26" t="n">
        <v>12914</v>
      </c>
      <c r="D9" s="26" t="n">
        <v>18497</v>
      </c>
      <c r="E9" s="26" t="n">
        <v>13375</v>
      </c>
    </row>
    <row r="10" customFormat="false" ht="15" hidden="false" customHeight="false" outlineLevel="0" collapsed="false">
      <c r="A10" s="5" t="s">
        <v>121</v>
      </c>
      <c r="B10" s="26" t="n">
        <v>2654</v>
      </c>
      <c r="C10" s="26" t="n">
        <v>3491</v>
      </c>
      <c r="D10" s="26" t="n">
        <v>4579</v>
      </c>
      <c r="E10" s="26" t="n">
        <v>2654</v>
      </c>
    </row>
    <row r="11" customFormat="false" ht="15" hidden="false" customHeight="false" outlineLevel="0" collapsed="false">
      <c r="A11" s="5" t="s">
        <v>122</v>
      </c>
      <c r="B11" s="41" t="n">
        <f aca="false">B9+B10</f>
        <v>11329</v>
      </c>
      <c r="C11" s="41" t="n">
        <f aca="false">C9+C10</f>
        <v>16405</v>
      </c>
      <c r="D11" s="41" t="n">
        <f aca="false">D9+D10</f>
        <v>23076</v>
      </c>
      <c r="E11" s="41" t="n">
        <f aca="false">E9+E10</f>
        <v>16029</v>
      </c>
    </row>
    <row r="12" customFormat="false" ht="15" hidden="false" customHeight="false" outlineLevel="0" collapsed="false">
      <c r="A12" s="8" t="s">
        <v>123</v>
      </c>
      <c r="B12" s="42" t="n">
        <f aca="false">B8-B11</f>
        <v>32972</v>
      </c>
      <c r="C12" s="42" t="n">
        <f aca="false">C8-C11</f>
        <v>81453</v>
      </c>
      <c r="D12" s="42" t="n">
        <f aca="false">D8-D11</f>
        <v>130387</v>
      </c>
      <c r="E12" s="42" t="n">
        <f aca="false">E8-E11</f>
        <v>117270</v>
      </c>
    </row>
    <row r="13" customFormat="false" ht="15" hidden="false" customHeight="false" outlineLevel="0" collapsed="false">
      <c r="A13" s="5" t="s">
        <v>124</v>
      </c>
      <c r="B13" s="26" t="n">
        <v>846</v>
      </c>
      <c r="C13" s="26" t="n">
        <v>2573</v>
      </c>
      <c r="D13" s="26" t="n">
        <v>11063</v>
      </c>
      <c r="E13" s="26" t="n">
        <v>24140</v>
      </c>
    </row>
    <row r="14" customFormat="false" ht="15" hidden="false" customHeight="false" outlineLevel="0" collapsed="false">
      <c r="A14" s="5" t="s">
        <v>125</v>
      </c>
      <c r="B14" s="41" t="n">
        <f aca="false">B12+B13</f>
        <v>33818</v>
      </c>
      <c r="C14" s="41" t="n">
        <f aca="false">C12+C13</f>
        <v>84026</v>
      </c>
      <c r="D14" s="41" t="n">
        <f aca="false">D12+D13</f>
        <v>141450</v>
      </c>
      <c r="E14" s="41" t="n">
        <f aca="false">E12+E13</f>
        <v>141410</v>
      </c>
    </row>
    <row r="15" customFormat="false" ht="15" hidden="false" customHeight="false" outlineLevel="0" collapsed="false">
      <c r="A15" s="5" t="s">
        <v>126</v>
      </c>
      <c r="B15" s="26" t="n">
        <v>4058</v>
      </c>
      <c r="C15" s="26" t="n">
        <v>11146</v>
      </c>
      <c r="D15" s="26" t="n">
        <v>21383</v>
      </c>
      <c r="E15" s="26" t="n">
        <v>23400</v>
      </c>
    </row>
    <row r="16" customFormat="false" ht="15" hidden="false" customHeight="false" outlineLevel="0" collapsed="false">
      <c r="A16" s="8" t="s">
        <v>127</v>
      </c>
      <c r="B16" s="42" t="n">
        <f aca="false">B14-B15</f>
        <v>29760</v>
      </c>
      <c r="C16" s="42" t="n">
        <f aca="false">C14-C15</f>
        <v>72880</v>
      </c>
      <c r="D16" s="42" t="n">
        <f aca="false">D14-D15</f>
        <v>120067</v>
      </c>
      <c r="E16" s="42" t="n">
        <f aca="false">E14-E15</f>
        <v>118010</v>
      </c>
    </row>
    <row r="17" customFormat="false" ht="15" hidden="false" customHeight="false" outlineLevel="0" collapsed="false">
      <c r="A17" s="5" t="s">
        <v>128</v>
      </c>
      <c r="B17" s="26" t="n">
        <v>24940</v>
      </c>
      <c r="C17" s="26" t="n">
        <v>24804</v>
      </c>
      <c r="D17" s="26" t="n">
        <v>24514</v>
      </c>
      <c r="E17" s="26" t="n">
        <v>24338</v>
      </c>
    </row>
    <row r="18" customFormat="false" ht="15" hidden="false" customHeight="false" outlineLevel="0" collapsed="false">
      <c r="A18" s="5" t="s">
        <v>129</v>
      </c>
      <c r="B18" s="43" t="n">
        <f aca="false">B16/B17</f>
        <v>1.19326383319968</v>
      </c>
      <c r="C18" s="43" t="n">
        <f aca="false">C16/C17</f>
        <v>2.93823576842445</v>
      </c>
      <c r="D18" s="43" t="n">
        <f aca="false">D16/D17</f>
        <v>4.89789508036224</v>
      </c>
      <c r="E18" s="43" t="n">
        <f aca="false">E16/E17</f>
        <v>4.84879612129181</v>
      </c>
    </row>
    <row r="20" customFormat="false" ht="15" hidden="false" customHeight="false" outlineLevel="0" collapsed="false">
      <c r="A20" s="8" t="s">
        <v>130</v>
      </c>
    </row>
    <row r="21" customFormat="false" ht="15" hidden="false" customHeight="false" outlineLevel="0" collapsed="false">
      <c r="A21" s="5" t="s">
        <v>81</v>
      </c>
      <c r="B21" s="44" t="s">
        <v>131</v>
      </c>
      <c r="C21" s="45" t="n">
        <f aca="false">C6/B6-1</f>
        <v>1.14203407635994</v>
      </c>
      <c r="D21" s="45" t="n">
        <f aca="false">D6/C6-1</f>
        <v>0.654735357900948</v>
      </c>
      <c r="E21" s="44" t="s">
        <v>131</v>
      </c>
    </row>
    <row r="22" customFormat="false" ht="15" hidden="false" customHeight="false" outlineLevel="0" collapsed="false">
      <c r="A22" s="5" t="s">
        <v>132</v>
      </c>
      <c r="B22" s="45" t="n">
        <f aca="false">B8/B6</f>
        <v>0.72717573290437</v>
      </c>
      <c r="C22" s="45" t="n">
        <f aca="false">C8/C6</f>
        <v>0.749886970581699</v>
      </c>
      <c r="D22" s="45" t="n">
        <f aca="false">D8/D6</f>
        <v>0.710680843575471</v>
      </c>
      <c r="E22" s="45" t="n">
        <f aca="false">E8/E6</f>
        <v>0.749557178764824</v>
      </c>
    </row>
    <row r="23" customFormat="false" ht="15" hidden="false" customHeight="false" outlineLevel="0" collapsed="false">
      <c r="A23" s="5" t="s">
        <v>133</v>
      </c>
      <c r="B23" s="45" t="n">
        <f aca="false">B12/B6</f>
        <v>0.541216637667838</v>
      </c>
      <c r="C23" s="45" t="n">
        <f aca="false">C12/C6</f>
        <v>0.624175268396975</v>
      </c>
      <c r="D23" s="45" t="n">
        <f aca="false">D12/D6</f>
        <v>0.603816836314127</v>
      </c>
      <c r="E23" s="45" t="n">
        <f aca="false">E12/E6</f>
        <v>0.659424079353565</v>
      </c>
    </row>
    <row r="24" customFormat="false" ht="15" hidden="false" customHeight="false" outlineLevel="0" collapsed="false">
      <c r="A24" s="5" t="s">
        <v>134</v>
      </c>
      <c r="B24" s="45" t="n">
        <f aca="false">B15/B14</f>
        <v>0.119995268791768</v>
      </c>
      <c r="C24" s="45" t="n">
        <f aca="false">C15/C14</f>
        <v>0.132649418037274</v>
      </c>
      <c r="D24" s="45" t="n">
        <f aca="false">D15/D14</f>
        <v>0.151170024743726</v>
      </c>
      <c r="E24" s="45" t="n">
        <f aca="false">E15/E14</f>
        <v>0.165476274662329</v>
      </c>
    </row>
    <row r="25" customFormat="false" ht="15" hidden="false" customHeight="false" outlineLevel="0" collapsed="false">
      <c r="A25" s="5" t="s">
        <v>135</v>
      </c>
      <c r="B25" s="45" t="n">
        <f aca="false">B9/B6</f>
        <v>0.142395193854437</v>
      </c>
      <c r="C25" s="45" t="n">
        <f aca="false">C9/C6</f>
        <v>0.0989601293516326</v>
      </c>
      <c r="D25" s="45" t="n">
        <f aca="false">D9/D6</f>
        <v>0.0856588465207606</v>
      </c>
      <c r="E25" s="45" t="n">
        <f aca="false">E9/E6</f>
        <v>0.0752093208949769</v>
      </c>
    </row>
    <row r="26" customFormat="false" ht="15" hidden="false" customHeight="false" outlineLevel="0" collapsed="false">
      <c r="A26" s="5" t="s">
        <v>136</v>
      </c>
      <c r="B26" s="45" t="n">
        <f aca="false">B10/B6</f>
        <v>0.0435639013820951</v>
      </c>
      <c r="C26" s="45" t="n">
        <f aca="false">C10/C6</f>
        <v>0.0267515728330919</v>
      </c>
      <c r="D26" s="45" t="n">
        <f aca="false">D10/D6</f>
        <v>0.0212051607405829</v>
      </c>
      <c r="E26" s="45" t="n">
        <f aca="false">E10/E6</f>
        <v>0.0149237785162818</v>
      </c>
    </row>
    <row r="28" customFormat="false" ht="15" hidden="false" customHeight="false" outlineLevel="0" collapsed="false">
      <c r="A28" s="3" t="s">
        <v>137</v>
      </c>
    </row>
    <row r="29" customFormat="false" ht="15" hidden="false" customHeight="false" outlineLevel="0" collapsed="false">
      <c r="A29" s="5" t="s">
        <v>138</v>
      </c>
      <c r="B29" s="26" t="n">
        <v>1508</v>
      </c>
      <c r="C29" s="26" t="n">
        <v>1864</v>
      </c>
      <c r="D29" s="26" t="n">
        <v>2843</v>
      </c>
      <c r="E29" s="26" t="n">
        <v>2124</v>
      </c>
    </row>
    <row r="30" customFormat="false" ht="15" hidden="false" customHeight="false" outlineLevel="0" collapsed="false">
      <c r="A30" s="5" t="s">
        <v>139</v>
      </c>
      <c r="B30" s="26" t="n">
        <v>3549</v>
      </c>
      <c r="C30" s="26" t="n">
        <v>4737</v>
      </c>
      <c r="D30" s="26" t="n">
        <v>6386</v>
      </c>
      <c r="E30" s="26" t="n">
        <v>3954</v>
      </c>
    </row>
    <row r="31" customFormat="false" ht="15" hidden="false" customHeight="false" outlineLevel="0" collapsed="false">
      <c r="A31" s="5" t="s">
        <v>140</v>
      </c>
      <c r="B31" s="26" t="n">
        <v>1069</v>
      </c>
      <c r="C31" s="26" t="n">
        <v>3236</v>
      </c>
      <c r="D31" s="26" t="n">
        <v>6042</v>
      </c>
      <c r="E31" s="26" t="n">
        <v>4434</v>
      </c>
    </row>
    <row r="32" customFormat="false" ht="15" hidden="false" customHeight="false" outlineLevel="0" collapsed="false">
      <c r="A32" s="5" t="s">
        <v>141</v>
      </c>
      <c r="B32" s="26" t="n">
        <v>28090</v>
      </c>
      <c r="C32" s="26" t="n">
        <v>64089</v>
      </c>
      <c r="D32" s="26" t="n">
        <v>102718</v>
      </c>
      <c r="E32" s="26" t="n">
        <v>74421</v>
      </c>
    </row>
    <row r="33" customFormat="false" ht="15" hidden="false" customHeight="false" outlineLevel="0" collapsed="false">
      <c r="A33" s="8" t="s">
        <v>142</v>
      </c>
      <c r="B33" s="42" t="n">
        <f aca="false">B32-B31</f>
        <v>27021</v>
      </c>
      <c r="C33" s="42" t="n">
        <f aca="false">C32-C31</f>
        <v>60853</v>
      </c>
      <c r="D33" s="42" t="n">
        <f aca="false">D32-D31</f>
        <v>96676</v>
      </c>
      <c r="E33" s="42" t="n">
        <f aca="false">E32-E31</f>
        <v>69987</v>
      </c>
    </row>
    <row r="34" customFormat="false" ht="15" hidden="false" customHeight="false" outlineLevel="0" collapsed="false">
      <c r="A34" s="5" t="s">
        <v>143</v>
      </c>
      <c r="B34" s="45" t="n">
        <f aca="false">B29/B6</f>
        <v>0.0247529628048981</v>
      </c>
      <c r="C34" s="45" t="n">
        <f aca="false">C29/C6</f>
        <v>0.0142838532686575</v>
      </c>
      <c r="D34" s="45" t="n">
        <f aca="false">D29/D6</f>
        <v>0.0131658161138845</v>
      </c>
      <c r="E34" s="45" t="n">
        <f aca="false">E29/E6</f>
        <v>0.0119435213144621</v>
      </c>
    </row>
    <row r="35" customFormat="false" ht="15" hidden="false" customHeight="false" outlineLevel="0" collapsed="false">
      <c r="A35" s="5" t="s">
        <v>144</v>
      </c>
      <c r="B35" s="45" t="n">
        <f aca="false">B31/B6</f>
        <v>0.017547027346443</v>
      </c>
      <c r="C35" s="45" t="n">
        <f aca="false">C31/C6</f>
        <v>0.0247975049234848</v>
      </c>
      <c r="D35" s="45" t="n">
        <f aca="false">D31/D6</f>
        <v>0.0279802535913086</v>
      </c>
      <c r="E35" s="45" t="n">
        <f aca="false">E31/E6</f>
        <v>0.0249329442129591</v>
      </c>
    </row>
    <row r="36" customFormat="false" ht="15" hidden="false" customHeight="false" outlineLevel="0" collapsed="false">
      <c r="A36" s="5" t="s">
        <v>145</v>
      </c>
      <c r="B36" s="45" t="n">
        <f aca="false">B30/B6</f>
        <v>0.0582548176356653</v>
      </c>
      <c r="C36" s="45" t="n">
        <f aca="false">C30/C6</f>
        <v>0.036299685050231</v>
      </c>
      <c r="D36" s="45" t="n">
        <f aca="false">D30/D6</f>
        <v>0.029573303448212</v>
      </c>
      <c r="E36" s="45" t="n">
        <f aca="false">E30/E6</f>
        <v>0.0222338433509337</v>
      </c>
    </row>
    <row r="38" customFormat="false" ht="15" hidden="false" customHeight="false" outlineLevel="0" collapsed="false">
      <c r="A38" s="3" t="s">
        <v>146</v>
      </c>
      <c r="B38" s="12" t="s">
        <v>147</v>
      </c>
      <c r="C38" s="12" t="s">
        <v>148</v>
      </c>
      <c r="D38" s="12" t="s">
        <v>149</v>
      </c>
      <c r="E38" s="12" t="s">
        <v>150</v>
      </c>
    </row>
    <row r="39" customFormat="false" ht="15" hidden="false" customHeight="false" outlineLevel="0" collapsed="false">
      <c r="A39" s="5" t="s">
        <v>151</v>
      </c>
      <c r="B39" s="26" t="n">
        <v>25984</v>
      </c>
      <c r="C39" s="26" t="n">
        <v>43210</v>
      </c>
      <c r="D39" s="26" t="n">
        <v>49670</v>
      </c>
      <c r="E39" s="26" t="n">
        <v>56586</v>
      </c>
    </row>
    <row r="40" customFormat="false" ht="15" hidden="false" customHeight="false" outlineLevel="0" collapsed="false">
      <c r="A40" s="5" t="s">
        <v>152</v>
      </c>
      <c r="B40" s="26" t="n">
        <v>0</v>
      </c>
      <c r="C40" s="26" t="n">
        <v>0</v>
      </c>
      <c r="D40" s="26" t="n">
        <v>12886</v>
      </c>
      <c r="E40" s="26" t="n">
        <v>42783</v>
      </c>
    </row>
    <row r="41" customFormat="false" ht="15" hidden="false" customHeight="false" outlineLevel="0" collapsed="false">
      <c r="A41" s="5" t="s">
        <v>153</v>
      </c>
      <c r="B41" s="26" t="n">
        <v>9999</v>
      </c>
      <c r="C41" s="26" t="n">
        <v>23065</v>
      </c>
      <c r="D41" s="26" t="n">
        <v>38466</v>
      </c>
      <c r="E41" s="26" t="n">
        <v>63059</v>
      </c>
    </row>
    <row r="42" customFormat="false" ht="15" hidden="false" customHeight="false" outlineLevel="0" collapsed="false">
      <c r="A42" s="5" t="s">
        <v>154</v>
      </c>
      <c r="B42" s="26" t="n">
        <v>5282</v>
      </c>
      <c r="C42" s="26" t="n">
        <v>10080</v>
      </c>
      <c r="D42" s="26" t="n">
        <v>21403</v>
      </c>
      <c r="E42" s="26" t="n">
        <v>31575</v>
      </c>
    </row>
    <row r="43" customFormat="false" ht="15" hidden="false" customHeight="false" outlineLevel="0" collapsed="false">
      <c r="A43" s="5" t="s">
        <v>155</v>
      </c>
      <c r="B43" s="26" t="n">
        <v>3080</v>
      </c>
      <c r="C43" s="26" t="n">
        <v>3771</v>
      </c>
      <c r="D43" s="26" t="n">
        <v>3180</v>
      </c>
      <c r="E43" s="26" t="n">
        <v>3409</v>
      </c>
    </row>
    <row r="44" customFormat="false" ht="15" hidden="false" customHeight="false" outlineLevel="0" collapsed="false">
      <c r="A44" s="8" t="s">
        <v>156</v>
      </c>
      <c r="B44" s="42" t="n">
        <f aca="false">SUM(B39:B43)</f>
        <v>44345</v>
      </c>
      <c r="C44" s="42" t="n">
        <f aca="false">SUM(C39:C43)</f>
        <v>80126</v>
      </c>
      <c r="D44" s="42" t="n">
        <f aca="false">SUM(D39:D43)</f>
        <v>125605</v>
      </c>
      <c r="E44" s="42" t="n">
        <f aca="false">SUM(E39:E43)</f>
        <v>197412</v>
      </c>
    </row>
    <row r="45" customFormat="false" ht="15" hidden="false" customHeight="false" outlineLevel="0" collapsed="false">
      <c r="A45" s="5" t="s">
        <v>157</v>
      </c>
      <c r="B45" s="26" t="n">
        <v>3914</v>
      </c>
      <c r="C45" s="26" t="n">
        <v>6283</v>
      </c>
      <c r="D45" s="26" t="n">
        <v>10383</v>
      </c>
      <c r="E45" s="26" t="n">
        <v>14285</v>
      </c>
    </row>
    <row r="46" customFormat="false" ht="15" hidden="false" customHeight="false" outlineLevel="0" collapsed="false">
      <c r="A46" s="5" t="s">
        <v>158</v>
      </c>
      <c r="B46" s="26" t="n">
        <v>1346</v>
      </c>
      <c r="C46" s="26" t="n">
        <v>1793</v>
      </c>
      <c r="D46" s="26" t="n">
        <v>2867</v>
      </c>
      <c r="E46" s="26" t="n">
        <v>5390</v>
      </c>
    </row>
    <row r="47" customFormat="false" ht="15" hidden="false" customHeight="false" outlineLevel="0" collapsed="false">
      <c r="A47" s="5" t="s">
        <v>159</v>
      </c>
      <c r="B47" s="26" t="n">
        <v>4430</v>
      </c>
      <c r="C47" s="26" t="n">
        <v>5188</v>
      </c>
      <c r="D47" s="26" t="n">
        <v>20832</v>
      </c>
      <c r="E47" s="26" t="n">
        <v>21125</v>
      </c>
    </row>
    <row r="48" customFormat="false" ht="15" hidden="false" customHeight="false" outlineLevel="0" collapsed="false">
      <c r="A48" s="5" t="s">
        <v>160</v>
      </c>
      <c r="B48" s="26" t="n">
        <v>1112</v>
      </c>
      <c r="C48" s="26" t="n">
        <v>807</v>
      </c>
      <c r="D48" s="26" t="n">
        <v>3306</v>
      </c>
      <c r="E48" s="26" t="n">
        <v>2998</v>
      </c>
    </row>
    <row r="49" customFormat="false" ht="15" hidden="false" customHeight="false" outlineLevel="0" collapsed="false">
      <c r="A49" s="5" t="s">
        <v>161</v>
      </c>
      <c r="B49" s="26" t="n">
        <v>6081</v>
      </c>
      <c r="C49" s="26" t="n">
        <v>10979</v>
      </c>
      <c r="D49" s="26" t="n">
        <v>13258</v>
      </c>
      <c r="E49" s="26" t="n">
        <v>12159</v>
      </c>
    </row>
    <row r="50" customFormat="false" ht="15" hidden="false" customHeight="false" outlineLevel="0" collapsed="false">
      <c r="A50" s="5" t="s">
        <v>162</v>
      </c>
      <c r="B50" s="26" t="n">
        <v>0</v>
      </c>
      <c r="C50" s="26" t="n">
        <v>3387</v>
      </c>
      <c r="D50" s="26" t="n">
        <v>22251</v>
      </c>
      <c r="E50" s="26" t="n">
        <v>51157</v>
      </c>
    </row>
    <row r="51" customFormat="false" ht="15" hidden="false" customHeight="false" outlineLevel="0" collapsed="false">
      <c r="A51" s="5" t="s">
        <v>163</v>
      </c>
      <c r="B51" s="26" t="n">
        <v>4500</v>
      </c>
      <c r="C51" s="26" t="n">
        <v>3038</v>
      </c>
      <c r="D51" s="26" t="n">
        <v>8301</v>
      </c>
      <c r="E51" s="26" t="n">
        <v>15746</v>
      </c>
    </row>
    <row r="52" customFormat="false" ht="15" hidden="false" customHeight="false" outlineLevel="0" collapsed="false">
      <c r="A52" s="8" t="s">
        <v>164</v>
      </c>
      <c r="B52" s="42" t="n">
        <f aca="false">B44+SUM(B45:B51)</f>
        <v>65728</v>
      </c>
      <c r="C52" s="42" t="n">
        <f aca="false">C44+SUM(C45:C51)</f>
        <v>111601</v>
      </c>
      <c r="D52" s="42" t="n">
        <f aca="false">D44+SUM(D45:D51)</f>
        <v>206803</v>
      </c>
      <c r="E52" s="42" t="n">
        <f aca="false">E44+SUM(E45:E51)</f>
        <v>320272</v>
      </c>
    </row>
    <row r="53" customFormat="false" ht="15" hidden="false" customHeight="false" outlineLevel="0" collapsed="false">
      <c r="A53" s="5" t="s">
        <v>165</v>
      </c>
      <c r="B53" s="26" t="n">
        <v>2699</v>
      </c>
      <c r="C53" s="26" t="n">
        <v>6310</v>
      </c>
      <c r="D53" s="26" t="n">
        <v>9812</v>
      </c>
      <c r="E53" s="26" t="n">
        <v>15059</v>
      </c>
    </row>
    <row r="54" customFormat="false" ht="15" hidden="false" customHeight="false" outlineLevel="0" collapsed="false">
      <c r="A54" s="5" t="s">
        <v>166</v>
      </c>
      <c r="B54" s="26" t="n">
        <v>6682</v>
      </c>
      <c r="C54" s="26" t="n">
        <v>11737</v>
      </c>
      <c r="D54" s="26" t="n">
        <v>21352</v>
      </c>
      <c r="E54" s="26" t="n">
        <v>26960</v>
      </c>
    </row>
    <row r="55" customFormat="false" ht="15" hidden="false" customHeight="false" outlineLevel="0" collapsed="false">
      <c r="A55" s="5" t="s">
        <v>167</v>
      </c>
      <c r="B55" s="26" t="n">
        <v>1250</v>
      </c>
      <c r="C55" s="26" t="n">
        <v>0</v>
      </c>
      <c r="D55" s="26" t="n">
        <v>999</v>
      </c>
      <c r="E55" s="26" t="n">
        <v>1000</v>
      </c>
    </row>
    <row r="56" customFormat="false" ht="15" hidden="false" customHeight="false" outlineLevel="0" collapsed="false">
      <c r="A56" s="5" t="s">
        <v>168</v>
      </c>
      <c r="B56" s="26" t="n">
        <v>8459</v>
      </c>
      <c r="C56" s="26" t="n">
        <v>8463</v>
      </c>
      <c r="D56" s="26" t="n">
        <v>7469</v>
      </c>
      <c r="E56" s="26" t="n">
        <v>32366</v>
      </c>
    </row>
    <row r="57" customFormat="false" ht="15" hidden="false" customHeight="false" outlineLevel="0" collapsed="false">
      <c r="A57" s="5" t="s">
        <v>169</v>
      </c>
      <c r="B57" s="26" t="n">
        <v>1119</v>
      </c>
      <c r="C57" s="26" t="n">
        <v>1519</v>
      </c>
      <c r="D57" s="26" t="n">
        <v>2572</v>
      </c>
      <c r="E57" s="26" t="n">
        <v>4985</v>
      </c>
    </row>
    <row r="58" customFormat="false" ht="15" hidden="false" customHeight="false" outlineLevel="0" collapsed="false">
      <c r="A58" s="5" t="s">
        <v>170</v>
      </c>
      <c r="B58" s="26" t="n">
        <v>2541</v>
      </c>
      <c r="C58" s="26" t="n">
        <v>4245</v>
      </c>
      <c r="D58" s="26" t="n">
        <v>7306</v>
      </c>
      <c r="E58" s="26" t="n">
        <v>10918</v>
      </c>
    </row>
    <row r="59" customFormat="false" ht="15" hidden="false" customHeight="false" outlineLevel="0" collapsed="false">
      <c r="A59" s="8" t="s">
        <v>171</v>
      </c>
      <c r="B59" s="42" t="n">
        <f aca="false">SUM(B53:B58)</f>
        <v>22750</v>
      </c>
      <c r="C59" s="42" t="n">
        <f aca="false">SUM(C53:C58)</f>
        <v>32274</v>
      </c>
      <c r="D59" s="42" t="n">
        <f aca="false">SUM(D53:D58)</f>
        <v>49510</v>
      </c>
      <c r="E59" s="42" t="n">
        <f aca="false">SUM(E53:E58)</f>
        <v>91288</v>
      </c>
    </row>
    <row r="60" customFormat="false" ht="15" hidden="false" customHeight="false" outlineLevel="0" collapsed="false">
      <c r="A60" s="5" t="s">
        <v>172</v>
      </c>
      <c r="B60" s="26" t="n">
        <v>42978</v>
      </c>
      <c r="C60" s="26" t="n">
        <v>79327</v>
      </c>
      <c r="D60" s="26" t="n">
        <v>157293</v>
      </c>
      <c r="E60" s="26" t="n">
        <v>228984</v>
      </c>
    </row>
    <row r="61" customFormat="false" ht="15" hidden="false" customHeight="false" outlineLevel="0" collapsed="false">
      <c r="A61" s="5" t="s">
        <v>173</v>
      </c>
      <c r="B61" s="41" t="n">
        <f aca="false">B52-B59-B60</f>
        <v>0</v>
      </c>
      <c r="C61" s="41" t="n">
        <f aca="false">C52-C59-C60</f>
        <v>0</v>
      </c>
      <c r="D61" s="41" t="n">
        <f aca="false">D52-D59-D60</f>
        <v>0</v>
      </c>
      <c r="E61" s="41" t="n">
        <f aca="false">E52-E59-E60</f>
        <v>0</v>
      </c>
    </row>
    <row r="63" customFormat="false" ht="15" hidden="false" customHeight="false" outlineLevel="0" collapsed="false">
      <c r="A63" s="8" t="s">
        <v>174</v>
      </c>
      <c r="B63" s="42" t="n">
        <f aca="false">B41+B42+B43-B53-B54</f>
        <v>8980</v>
      </c>
      <c r="C63" s="42" t="n">
        <f aca="false">C41+C42+C43-C53-C54</f>
        <v>18869</v>
      </c>
      <c r="D63" s="42" t="n">
        <f aca="false">D41+D42+D43-D53-D54</f>
        <v>31885</v>
      </c>
      <c r="E63" s="42" t="n">
        <f aca="false">E41+E42+E43-E53-E54</f>
        <v>56024</v>
      </c>
    </row>
    <row r="64" customFormat="false" ht="15" hidden="false" customHeight="false" outlineLevel="0" collapsed="false">
      <c r="A64" s="5" t="s">
        <v>175</v>
      </c>
      <c r="B64" s="45" t="n">
        <f aca="false">B63/B6</f>
        <v>0.147401595482748</v>
      </c>
      <c r="C64" s="45" t="n">
        <f aca="false">C63/C6</f>
        <v>0.144593362299516</v>
      </c>
      <c r="D64" s="45" t="n">
        <f aca="false">D63/D6</f>
        <v>0.147658124091174</v>
      </c>
      <c r="E64" s="44" t="s">
        <v>131</v>
      </c>
    </row>
    <row r="65" customFormat="false" ht="15" hidden="false" customHeight="false" outlineLevel="0" collapsed="false">
      <c r="A65" s="5" t="s">
        <v>176</v>
      </c>
      <c r="B65" s="41" t="n">
        <f aca="false">B55+B56</f>
        <v>9709</v>
      </c>
      <c r="C65" s="41" t="n">
        <f aca="false">C55+C56</f>
        <v>8463</v>
      </c>
      <c r="D65" s="41" t="n">
        <f aca="false">D55+D56</f>
        <v>8468</v>
      </c>
      <c r="E65" s="41" t="n">
        <f aca="false">E55+E56</f>
        <v>33366</v>
      </c>
    </row>
    <row r="66" customFormat="false" ht="15" hidden="false" customHeight="false" outlineLevel="0" collapsed="false">
      <c r="A66" s="5" t="s">
        <v>177</v>
      </c>
      <c r="B66" s="41" t="n">
        <f aca="false">B63+B45+B46+B47+B48</f>
        <v>19782</v>
      </c>
      <c r="C66" s="41" t="n">
        <f aca="false">C63+C45+C46+C47+C48</f>
        <v>32940</v>
      </c>
      <c r="D66" s="41" t="n">
        <f aca="false">D63+D45+D46+D47+D48</f>
        <v>69273</v>
      </c>
      <c r="E66" s="41" t="n">
        <f aca="false">E63+E45+E46+E47+E48</f>
        <v>99822</v>
      </c>
    </row>
    <row r="67" customFormat="false" ht="15" hidden="false" customHeight="false" outlineLevel="0" collapsed="false">
      <c r="A67" s="5" t="s">
        <v>178</v>
      </c>
      <c r="B67" s="45" t="n">
        <f aca="false">B12*(1-B24)/B66</f>
        <v>1.46676352226255</v>
      </c>
      <c r="C67" s="45" t="n">
        <f aca="false">C12*(1-C24)/C66</f>
        <v>2.14475734525227</v>
      </c>
      <c r="D67" s="45" t="n">
        <f aca="false">D12*(1-D24)/D66</f>
        <v>1.59768443670319</v>
      </c>
      <c r="E67" s="44" t="s">
        <v>131</v>
      </c>
    </row>
    <row r="69" customFormat="false" ht="15" hidden="false" customHeight="true" outlineLevel="0" collapsed="false">
      <c r="A69" s="46" t="s">
        <v>179</v>
      </c>
      <c r="B69" s="46"/>
      <c r="C69" s="46"/>
      <c r="D69" s="46"/>
      <c r="E69" s="46"/>
    </row>
    <row r="70" customFormat="false" ht="15" hidden="false" customHeight="false" outlineLevel="0" collapsed="false">
      <c r="A70" s="46"/>
      <c r="B70" s="46"/>
      <c r="C70" s="46"/>
      <c r="D70" s="46"/>
      <c r="E70" s="46"/>
    </row>
    <row r="71" customFormat="false" ht="15" hidden="false" customHeight="false" outlineLevel="0" collapsed="false">
      <c r="A71" s="46"/>
      <c r="B71" s="46"/>
      <c r="C71" s="46"/>
      <c r="D71" s="46"/>
      <c r="E71" s="46"/>
    </row>
  </sheetData>
  <mergeCells count="1">
    <mergeCell ref="A69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1" t="s">
        <v>180</v>
      </c>
    </row>
    <row r="2" customFormat="false" ht="15" hidden="false" customHeight="false" outlineLevel="0" collapsed="false">
      <c r="A2" s="2" t="s">
        <v>181</v>
      </c>
    </row>
    <row r="3" customFormat="false" ht="15" hidden="false" customHeight="false" outlineLevel="0" collapsed="false">
      <c r="A3" s="8" t="s">
        <v>182</v>
      </c>
      <c r="B3" s="47" t="str">
        <f aca="false">Assumptions!B4</f>
        <v>Base</v>
      </c>
    </row>
    <row r="4" customFormat="false" ht="15" hidden="false" customHeight="false" outlineLevel="0" collapsed="false">
      <c r="A4" s="3" t="s">
        <v>183</v>
      </c>
      <c r="B4" s="12" t="s">
        <v>113</v>
      </c>
      <c r="C4" s="12" t="s">
        <v>114</v>
      </c>
      <c r="D4" s="12" t="s">
        <v>115</v>
      </c>
      <c r="E4" s="12" t="s">
        <v>82</v>
      </c>
      <c r="F4" s="12" t="s">
        <v>83</v>
      </c>
      <c r="G4" s="12" t="s">
        <v>84</v>
      </c>
      <c r="H4" s="12" t="s">
        <v>85</v>
      </c>
      <c r="I4" s="12" t="s">
        <v>86</v>
      </c>
      <c r="J4" s="12" t="s">
        <v>87</v>
      </c>
      <c r="K4" s="12" t="s">
        <v>88</v>
      </c>
      <c r="L4" s="12" t="s">
        <v>89</v>
      </c>
      <c r="M4" s="12" t="s">
        <v>90</v>
      </c>
      <c r="N4" s="12" t="s">
        <v>91</v>
      </c>
    </row>
    <row r="6" customFormat="false" ht="15" hidden="false" customHeight="false" outlineLevel="0" collapsed="false">
      <c r="A6" s="5" t="s">
        <v>184</v>
      </c>
      <c r="B6" s="44" t="s">
        <v>131</v>
      </c>
      <c r="C6" s="45" t="n">
        <f aca="false">C7/B7-1</f>
        <v>1.14203407635994</v>
      </c>
      <c r="D6" s="45" t="n">
        <f aca="false">D7/C7-1</f>
        <v>0.654735357900948</v>
      </c>
      <c r="E6" s="14" t="n">
        <f aca="false">Assumptions!E31</f>
        <v>0.87</v>
      </c>
      <c r="F6" s="14" t="n">
        <f aca="false">Assumptions!F31</f>
        <v>0.38</v>
      </c>
      <c r="G6" s="14" t="n">
        <f aca="false">Assumptions!G31</f>
        <v>0.25</v>
      </c>
      <c r="H6" s="14" t="n">
        <f aca="false">Assumptions!H31</f>
        <v>0.18</v>
      </c>
      <c r="I6" s="14" t="n">
        <f aca="false">Assumptions!I31</f>
        <v>0.14</v>
      </c>
      <c r="J6" s="14" t="n">
        <f aca="false">Assumptions!J31</f>
        <v>0.11</v>
      </c>
      <c r="K6" s="14" t="n">
        <f aca="false">Assumptions!K31</f>
        <v>0.09</v>
      </c>
      <c r="L6" s="14" t="n">
        <f aca="false">Assumptions!L31</f>
        <v>0.075</v>
      </c>
      <c r="M6" s="14" t="n">
        <f aca="false">Assumptions!M31</f>
        <v>0.06</v>
      </c>
      <c r="N6" s="14" t="n">
        <f aca="false">Assumptions!N31</f>
        <v>0.05</v>
      </c>
    </row>
    <row r="7" customFormat="false" ht="15" hidden="false" customHeight="false" outlineLevel="0" collapsed="false">
      <c r="A7" s="8" t="s">
        <v>117</v>
      </c>
      <c r="B7" s="48" t="n">
        <f aca="false">Historicals!B6</f>
        <v>60922</v>
      </c>
      <c r="C7" s="48" t="n">
        <f aca="false">Historicals!C6</f>
        <v>130497</v>
      </c>
      <c r="D7" s="48" t="n">
        <f aca="false">Historicals!D6</f>
        <v>215938</v>
      </c>
      <c r="E7" s="42" t="n">
        <f aca="false">D7*(1+E6)</f>
        <v>403804.06</v>
      </c>
      <c r="F7" s="42" t="n">
        <f aca="false">E7*(1+F6)</f>
        <v>557249.6028</v>
      </c>
      <c r="G7" s="42" t="n">
        <f aca="false">F7*(1+G6)</f>
        <v>696562.0035</v>
      </c>
      <c r="H7" s="42" t="n">
        <f aca="false">G7*(1+H6)</f>
        <v>821943.16413</v>
      </c>
      <c r="I7" s="42" t="n">
        <f aca="false">H7*(1+I6)</f>
        <v>937015.2071082</v>
      </c>
      <c r="J7" s="42" t="n">
        <f aca="false">I7*(1+J6)</f>
        <v>1040086.8798901</v>
      </c>
      <c r="K7" s="42" t="n">
        <f aca="false">J7*(1+K6)</f>
        <v>1133694.69908021</v>
      </c>
      <c r="L7" s="42" t="n">
        <f aca="false">K7*(1+L6)</f>
        <v>1218721.80151123</v>
      </c>
      <c r="M7" s="42" t="n">
        <f aca="false">L7*(1+M6)</f>
        <v>1291845.1096019</v>
      </c>
      <c r="N7" s="42" t="n">
        <f aca="false">M7*(1+N6)</f>
        <v>1356437.365082</v>
      </c>
    </row>
    <row r="8" customFormat="false" ht="15" hidden="false" customHeight="false" outlineLevel="0" collapsed="false">
      <c r="A8" s="5" t="s">
        <v>133</v>
      </c>
      <c r="B8" s="14" t="n">
        <f aca="false">Historicals!B23</f>
        <v>0.541216637667838</v>
      </c>
      <c r="C8" s="14" t="n">
        <f aca="false">Historicals!C23</f>
        <v>0.624175268396975</v>
      </c>
      <c r="D8" s="14" t="n">
        <f aca="false">Historicals!D23</f>
        <v>0.603816836314127</v>
      </c>
      <c r="E8" s="14" t="n">
        <f aca="false">Assumptions!E38</f>
        <v>0.65</v>
      </c>
      <c r="F8" s="14" t="n">
        <f aca="false">Assumptions!F38</f>
        <v>0.64</v>
      </c>
      <c r="G8" s="14" t="n">
        <f aca="false">Assumptions!G38</f>
        <v>0.62</v>
      </c>
      <c r="H8" s="14" t="n">
        <f aca="false">Assumptions!H38</f>
        <v>0.6</v>
      </c>
      <c r="I8" s="14" t="n">
        <f aca="false">Assumptions!I38</f>
        <v>0.58</v>
      </c>
      <c r="J8" s="14" t="n">
        <f aca="false">Assumptions!J38</f>
        <v>0.55</v>
      </c>
      <c r="K8" s="14" t="n">
        <f aca="false">Assumptions!K38</f>
        <v>0.53</v>
      </c>
      <c r="L8" s="14" t="n">
        <f aca="false">Assumptions!L38</f>
        <v>0.51</v>
      </c>
      <c r="M8" s="14" t="n">
        <f aca="false">Assumptions!M38</f>
        <v>0.49</v>
      </c>
      <c r="N8" s="14" t="n">
        <f aca="false">Assumptions!N38</f>
        <v>0.47</v>
      </c>
    </row>
    <row r="9" customFormat="false" ht="15" hidden="false" customHeight="false" outlineLevel="0" collapsed="false">
      <c r="A9" s="8" t="s">
        <v>185</v>
      </c>
      <c r="B9" s="48" t="n">
        <f aca="false">Historicals!B12</f>
        <v>32972</v>
      </c>
      <c r="C9" s="48" t="n">
        <f aca="false">Historicals!C12</f>
        <v>81453</v>
      </c>
      <c r="D9" s="48" t="n">
        <f aca="false">Historicals!D12</f>
        <v>130387</v>
      </c>
      <c r="E9" s="42" t="n">
        <f aca="false">E7*E8</f>
        <v>262472.639</v>
      </c>
      <c r="F9" s="42" t="n">
        <f aca="false">F7*F8</f>
        <v>356639.745792</v>
      </c>
      <c r="G9" s="42" t="n">
        <f aca="false">G7*G8</f>
        <v>431868.44217</v>
      </c>
      <c r="H9" s="42" t="n">
        <f aca="false">H7*H8</f>
        <v>493165.898478</v>
      </c>
      <c r="I9" s="42" t="n">
        <f aca="false">I7*I8</f>
        <v>543468.820122756</v>
      </c>
      <c r="J9" s="42" t="n">
        <f aca="false">J7*J8</f>
        <v>572047.783939556</v>
      </c>
      <c r="K9" s="42" t="n">
        <f aca="false">K7*K8</f>
        <v>600858.190512512</v>
      </c>
      <c r="L9" s="42" t="n">
        <f aca="false">L7*L8</f>
        <v>621548.118770726</v>
      </c>
      <c r="M9" s="42" t="n">
        <f aca="false">M7*M8</f>
        <v>633004.103704932</v>
      </c>
      <c r="N9" s="42" t="n">
        <f aca="false">N7*N8</f>
        <v>637525.561588538</v>
      </c>
    </row>
    <row r="10" customFormat="false" ht="15" hidden="false" customHeight="false" outlineLevel="0" collapsed="false">
      <c r="A10" s="5" t="s">
        <v>143</v>
      </c>
      <c r="B10" s="14" t="n">
        <f aca="false">Historicals!B34</f>
        <v>0.0247529628048981</v>
      </c>
      <c r="C10" s="14" t="n">
        <f aca="false">Historicals!C34</f>
        <v>0.0142838532686575</v>
      </c>
      <c r="D10" s="14" t="n">
        <f aca="false">Historicals!D34</f>
        <v>0.0131658161138845</v>
      </c>
      <c r="E10" s="14" t="n">
        <f aca="false">Assumptions!E43</f>
        <v>0.012</v>
      </c>
      <c r="F10" s="14" t="n">
        <f aca="false">Assumptions!F43</f>
        <v>0.012</v>
      </c>
      <c r="G10" s="14" t="n">
        <f aca="false">Assumptions!G43</f>
        <v>0.013</v>
      </c>
      <c r="H10" s="14" t="n">
        <f aca="false">Assumptions!H43</f>
        <v>0.014</v>
      </c>
      <c r="I10" s="14" t="n">
        <f aca="false">Assumptions!I43</f>
        <v>0.015</v>
      </c>
      <c r="J10" s="14" t="n">
        <f aca="false">Assumptions!J43</f>
        <v>0.016</v>
      </c>
      <c r="K10" s="14" t="n">
        <f aca="false">Assumptions!K43</f>
        <v>0.017</v>
      </c>
      <c r="L10" s="14" t="n">
        <f aca="false">Assumptions!L43</f>
        <v>0.018</v>
      </c>
      <c r="M10" s="14" t="n">
        <f aca="false">Assumptions!M43</f>
        <v>0.019</v>
      </c>
      <c r="N10" s="14" t="n">
        <f aca="false">Assumptions!N43</f>
        <v>0.02</v>
      </c>
    </row>
    <row r="11" customFormat="false" ht="15" hidden="false" customHeight="false" outlineLevel="0" collapsed="false">
      <c r="A11" s="5" t="s">
        <v>186</v>
      </c>
      <c r="B11" s="49" t="n">
        <f aca="false">Historicals!B29</f>
        <v>1508</v>
      </c>
      <c r="C11" s="49" t="n">
        <f aca="false">Historicals!C29</f>
        <v>1864</v>
      </c>
      <c r="D11" s="49" t="n">
        <f aca="false">Historicals!D29</f>
        <v>2843</v>
      </c>
      <c r="E11" s="41" t="n">
        <f aca="false">E7*E10</f>
        <v>4845.64872</v>
      </c>
      <c r="F11" s="41" t="n">
        <f aca="false">F7*F10</f>
        <v>6686.9952336</v>
      </c>
      <c r="G11" s="41" t="n">
        <f aca="false">G7*G10</f>
        <v>9055.3060455</v>
      </c>
      <c r="H11" s="41" t="n">
        <f aca="false">H7*H10</f>
        <v>11507.20429782</v>
      </c>
      <c r="I11" s="41" t="n">
        <f aca="false">I7*I10</f>
        <v>14055.228106623</v>
      </c>
      <c r="J11" s="41" t="n">
        <f aca="false">J7*J10</f>
        <v>16641.3900782416</v>
      </c>
      <c r="K11" s="41" t="n">
        <f aca="false">K7*K10</f>
        <v>19272.8098843636</v>
      </c>
      <c r="L11" s="41" t="n">
        <f aca="false">L7*L10</f>
        <v>21936.9924272021</v>
      </c>
      <c r="M11" s="41" t="n">
        <f aca="false">M7*M10</f>
        <v>24545.0570824361</v>
      </c>
      <c r="N11" s="41" t="n">
        <f aca="false">N7*N10</f>
        <v>27128.7473016399</v>
      </c>
    </row>
    <row r="12" customFormat="false" ht="15" hidden="false" customHeight="false" outlineLevel="0" collapsed="false">
      <c r="A12" s="5" t="s">
        <v>187</v>
      </c>
      <c r="B12" s="41" t="n">
        <f aca="false">B9+B11</f>
        <v>34480</v>
      </c>
      <c r="C12" s="41" t="n">
        <f aca="false">C9+C11</f>
        <v>83317</v>
      </c>
      <c r="D12" s="41" t="n">
        <f aca="false">D9+D11</f>
        <v>133230</v>
      </c>
      <c r="E12" s="41" t="n">
        <f aca="false">E9+E11</f>
        <v>267318.28772</v>
      </c>
      <c r="F12" s="41" t="n">
        <f aca="false">F9+F11</f>
        <v>363326.7410256</v>
      </c>
      <c r="G12" s="41" t="n">
        <f aca="false">G9+G11</f>
        <v>440923.7482155</v>
      </c>
      <c r="H12" s="41" t="n">
        <f aca="false">H9+H11</f>
        <v>504673.10277582</v>
      </c>
      <c r="I12" s="41" t="n">
        <f aca="false">I9+I11</f>
        <v>557524.048229379</v>
      </c>
      <c r="J12" s="41" t="n">
        <f aca="false">J9+J11</f>
        <v>588689.174017798</v>
      </c>
      <c r="K12" s="41" t="n">
        <f aca="false">K9+K11</f>
        <v>620131.000396876</v>
      </c>
      <c r="L12" s="41" t="n">
        <f aca="false">L9+L11</f>
        <v>643485.111197928</v>
      </c>
      <c r="M12" s="41" t="n">
        <f aca="false">M9+M11</f>
        <v>657549.160787368</v>
      </c>
      <c r="N12" s="41" t="n">
        <f aca="false">N9+N11</f>
        <v>664654.308890178</v>
      </c>
    </row>
    <row r="13" customFormat="false" ht="15" hidden="false" customHeight="false" outlineLevel="0" collapsed="false">
      <c r="A13" s="5" t="s">
        <v>188</v>
      </c>
      <c r="B13" s="14" t="n">
        <f aca="false">Historicals!B24</f>
        <v>0.119995268791768</v>
      </c>
      <c r="C13" s="14" t="n">
        <f aca="false">Historicals!C24</f>
        <v>0.132649418037274</v>
      </c>
      <c r="D13" s="14" t="n">
        <f aca="false">Historicals!D24</f>
        <v>0.151170024743726</v>
      </c>
      <c r="E13" s="14" t="n">
        <f aca="false">Assumptions!E42</f>
        <v>0.17</v>
      </c>
      <c r="F13" s="14" t="n">
        <f aca="false">Assumptions!F42</f>
        <v>0.18</v>
      </c>
      <c r="G13" s="14" t="n">
        <f aca="false">Assumptions!G42</f>
        <v>0.18</v>
      </c>
      <c r="H13" s="14" t="n">
        <f aca="false">Assumptions!H42</f>
        <v>0.18</v>
      </c>
      <c r="I13" s="14" t="n">
        <f aca="false">Assumptions!I42</f>
        <v>0.18</v>
      </c>
      <c r="J13" s="14" t="n">
        <f aca="false">Assumptions!J42</f>
        <v>0.19</v>
      </c>
      <c r="K13" s="14" t="n">
        <f aca="false">Assumptions!K42</f>
        <v>0.19</v>
      </c>
      <c r="L13" s="14" t="n">
        <f aca="false">Assumptions!L42</f>
        <v>0.19</v>
      </c>
      <c r="M13" s="14" t="n">
        <f aca="false">Assumptions!M42</f>
        <v>0.19</v>
      </c>
      <c r="N13" s="14" t="n">
        <f aca="false">Assumptions!N42</f>
        <v>0.19</v>
      </c>
    </row>
    <row r="14" customFormat="false" ht="15" hidden="false" customHeight="false" outlineLevel="0" collapsed="false">
      <c r="A14" s="5" t="s">
        <v>189</v>
      </c>
      <c r="B14" s="41" t="n">
        <f aca="false">B9*B13</f>
        <v>3956.48400260216</v>
      </c>
      <c r="C14" s="41" t="n">
        <f aca="false">C9*C13</f>
        <v>10804.6930473901</v>
      </c>
      <c r="D14" s="41" t="n">
        <f aca="false">D9*D13</f>
        <v>19710.6060162602</v>
      </c>
      <c r="E14" s="41" t="n">
        <f aca="false">E9*E13</f>
        <v>44620.34863</v>
      </c>
      <c r="F14" s="41" t="n">
        <f aca="false">F9*F13</f>
        <v>64195.15424256</v>
      </c>
      <c r="G14" s="41" t="n">
        <f aca="false">G9*G13</f>
        <v>77736.3195906</v>
      </c>
      <c r="H14" s="41" t="n">
        <f aca="false">H9*H13</f>
        <v>88769.86172604</v>
      </c>
      <c r="I14" s="41" t="n">
        <f aca="false">I9*I13</f>
        <v>97824.3876220961</v>
      </c>
      <c r="J14" s="41" t="n">
        <f aca="false">J9*J13</f>
        <v>108689.078948516</v>
      </c>
      <c r="K14" s="41" t="n">
        <f aca="false">K9*K13</f>
        <v>114163.056197377</v>
      </c>
      <c r="L14" s="41" t="n">
        <f aca="false">L9*L13</f>
        <v>118094.142566438</v>
      </c>
      <c r="M14" s="41" t="n">
        <f aca="false">M9*M13</f>
        <v>120270.779703937</v>
      </c>
      <c r="N14" s="41" t="n">
        <f aca="false">N9*N13</f>
        <v>121129.856701822</v>
      </c>
    </row>
    <row r="15" customFormat="false" ht="15" hidden="false" customHeight="false" outlineLevel="0" collapsed="false">
      <c r="A15" s="8" t="s">
        <v>190</v>
      </c>
      <c r="B15" s="42" t="n">
        <f aca="false">B9-B14</f>
        <v>29015.5159973978</v>
      </c>
      <c r="C15" s="42" t="n">
        <f aca="false">C9-C14</f>
        <v>70648.3069526099</v>
      </c>
      <c r="D15" s="42" t="n">
        <f aca="false">D9-D14</f>
        <v>110676.39398374</v>
      </c>
      <c r="E15" s="42" t="n">
        <f aca="false">E9-E14</f>
        <v>217852.29037</v>
      </c>
      <c r="F15" s="42" t="n">
        <f aca="false">F9-F14</f>
        <v>292444.59154944</v>
      </c>
      <c r="G15" s="42" t="n">
        <f aca="false">G9-G14</f>
        <v>354132.1225794</v>
      </c>
      <c r="H15" s="42" t="n">
        <f aca="false">H9-H14</f>
        <v>404396.03675196</v>
      </c>
      <c r="I15" s="42" t="n">
        <f aca="false">I9-I14</f>
        <v>445644.43250066</v>
      </c>
      <c r="J15" s="42" t="n">
        <f aca="false">J9-J14</f>
        <v>463358.704991041</v>
      </c>
      <c r="K15" s="42" t="n">
        <f aca="false">K9-K14</f>
        <v>486695.134315135</v>
      </c>
      <c r="L15" s="42" t="n">
        <f aca="false">L9-L14</f>
        <v>503453.976204288</v>
      </c>
      <c r="M15" s="42" t="n">
        <f aca="false">M9-M14</f>
        <v>512733.324000995</v>
      </c>
      <c r="N15" s="42" t="n">
        <f aca="false">N9-N14</f>
        <v>516395.704886716</v>
      </c>
    </row>
    <row r="16" customFormat="false" ht="15" hidden="false" customHeight="false" outlineLevel="0" collapsed="false">
      <c r="A16" s="5" t="s">
        <v>144</v>
      </c>
      <c r="B16" s="14" t="n">
        <f aca="false">Historicals!B35</f>
        <v>0.017547027346443</v>
      </c>
      <c r="C16" s="14" t="n">
        <f aca="false">Historicals!C35</f>
        <v>0.0247975049234848</v>
      </c>
      <c r="D16" s="14" t="n">
        <f aca="false">Historicals!D35</f>
        <v>0.0279802535913086</v>
      </c>
      <c r="E16" s="14" t="n">
        <f aca="false">Assumptions!E44</f>
        <v>0.025</v>
      </c>
      <c r="F16" s="14" t="n">
        <f aca="false">Assumptions!F44</f>
        <v>0.026</v>
      </c>
      <c r="G16" s="14" t="n">
        <f aca="false">Assumptions!G44</f>
        <v>0.026</v>
      </c>
      <c r="H16" s="14" t="n">
        <f aca="false">Assumptions!H44</f>
        <v>0.026</v>
      </c>
      <c r="I16" s="14" t="n">
        <f aca="false">Assumptions!I44</f>
        <v>0.026</v>
      </c>
      <c r="J16" s="14" t="n">
        <f aca="false">Assumptions!J44</f>
        <v>0.025</v>
      </c>
      <c r="K16" s="14" t="n">
        <f aca="false">Assumptions!K44</f>
        <v>0.025</v>
      </c>
      <c r="L16" s="14" t="n">
        <f aca="false">Assumptions!L44</f>
        <v>0.024</v>
      </c>
      <c r="M16" s="14" t="n">
        <f aca="false">Assumptions!M44</f>
        <v>0.024</v>
      </c>
      <c r="N16" s="14" t="n">
        <f aca="false">Assumptions!N44</f>
        <v>0.024</v>
      </c>
    </row>
    <row r="17" customFormat="false" ht="15" hidden="false" customHeight="false" outlineLevel="0" collapsed="false">
      <c r="A17" s="5" t="s">
        <v>191</v>
      </c>
      <c r="B17" s="49" t="n">
        <f aca="false">Historicals!B31</f>
        <v>1069</v>
      </c>
      <c r="C17" s="49" t="n">
        <f aca="false">Historicals!C31</f>
        <v>3236</v>
      </c>
      <c r="D17" s="49" t="n">
        <f aca="false">Historicals!D31</f>
        <v>6042</v>
      </c>
      <c r="E17" s="41" t="n">
        <f aca="false">E7*E16</f>
        <v>10095.1015</v>
      </c>
      <c r="F17" s="41" t="n">
        <f aca="false">F7*F16</f>
        <v>14488.4896728</v>
      </c>
      <c r="G17" s="41" t="n">
        <f aca="false">G7*G16</f>
        <v>18110.612091</v>
      </c>
      <c r="H17" s="41" t="n">
        <f aca="false">H7*H16</f>
        <v>21370.52226738</v>
      </c>
      <c r="I17" s="41" t="n">
        <f aca="false">I7*I16</f>
        <v>24362.3953848132</v>
      </c>
      <c r="J17" s="41" t="n">
        <f aca="false">J7*J16</f>
        <v>26002.1719972526</v>
      </c>
      <c r="K17" s="41" t="n">
        <f aca="false">K7*K16</f>
        <v>28342.3674770053</v>
      </c>
      <c r="L17" s="41" t="n">
        <f aca="false">L7*L16</f>
        <v>29249.3232362695</v>
      </c>
      <c r="M17" s="41" t="n">
        <f aca="false">M7*M16</f>
        <v>31004.2826304456</v>
      </c>
      <c r="N17" s="41" t="n">
        <f aca="false">N7*N16</f>
        <v>32554.4967619679</v>
      </c>
    </row>
    <row r="18" customFormat="false" ht="15" hidden="false" customHeight="false" outlineLevel="0" collapsed="false">
      <c r="A18" s="5" t="s">
        <v>192</v>
      </c>
      <c r="B18" s="14" t="n">
        <f aca="false">Historicals!B64</f>
        <v>0.147401595482748</v>
      </c>
      <c r="C18" s="14" t="n">
        <f aca="false">Historicals!C64</f>
        <v>0.144593362299516</v>
      </c>
      <c r="D18" s="14" t="n">
        <f aca="false">Historicals!D64</f>
        <v>0.147658124091174</v>
      </c>
      <c r="E18" s="14" t="n">
        <f aca="false">Assumptions!$B$22</f>
        <v>0.146551027291146</v>
      </c>
      <c r="F18" s="14" t="n">
        <f aca="false">Assumptions!$B$22</f>
        <v>0.146551027291146</v>
      </c>
      <c r="G18" s="14" t="n">
        <f aca="false">Assumptions!$B$22</f>
        <v>0.146551027291146</v>
      </c>
      <c r="H18" s="14" t="n">
        <f aca="false">Assumptions!$B$22</f>
        <v>0.146551027291146</v>
      </c>
      <c r="I18" s="14" t="n">
        <f aca="false">Assumptions!$B$22</f>
        <v>0.146551027291146</v>
      </c>
      <c r="J18" s="14" t="n">
        <f aca="false">Assumptions!$B$22</f>
        <v>0.146551027291146</v>
      </c>
      <c r="K18" s="14" t="n">
        <f aca="false">Assumptions!$B$22</f>
        <v>0.146551027291146</v>
      </c>
      <c r="L18" s="14" t="n">
        <f aca="false">Assumptions!$B$22</f>
        <v>0.146551027291146</v>
      </c>
      <c r="M18" s="14" t="n">
        <f aca="false">Assumptions!$B$22</f>
        <v>0.146551027291146</v>
      </c>
      <c r="N18" s="14" t="n">
        <f aca="false">Assumptions!$B$22</f>
        <v>0.146551027291146</v>
      </c>
    </row>
    <row r="19" customFormat="false" ht="15" hidden="false" customHeight="false" outlineLevel="0" collapsed="false">
      <c r="A19" s="5" t="s">
        <v>193</v>
      </c>
      <c r="B19" s="49" t="n">
        <f aca="false">Historicals!B63</f>
        <v>8980</v>
      </c>
      <c r="C19" s="49" t="n">
        <f aca="false">Historicals!C63</f>
        <v>18869</v>
      </c>
      <c r="D19" s="49" t="n">
        <f aca="false">Historicals!D63</f>
        <v>31885</v>
      </c>
      <c r="E19" s="41" t="n">
        <f aca="false">E7*E18</f>
        <v>59177.8998173357</v>
      </c>
      <c r="F19" s="41" t="n">
        <f aca="false">F7*F18</f>
        <v>81665.5017479233</v>
      </c>
      <c r="G19" s="41" t="n">
        <f aca="false">G7*G18</f>
        <v>102081.877184904</v>
      </c>
      <c r="H19" s="41" t="n">
        <f aca="false">H7*H18</f>
        <v>120456.615078187</v>
      </c>
      <c r="I19" s="41" t="n">
        <f aca="false">I7*I18</f>
        <v>137320.541189133</v>
      </c>
      <c r="J19" s="41" t="n">
        <f aca="false">J7*J18</f>
        <v>152425.800719938</v>
      </c>
      <c r="K19" s="41" t="n">
        <f aca="false">K7*K18</f>
        <v>166144.122784732</v>
      </c>
      <c r="L19" s="41" t="n">
        <f aca="false">L7*L18</f>
        <v>178604.931993587</v>
      </c>
      <c r="M19" s="41" t="n">
        <f aca="false">M7*M18</f>
        <v>189321.227913202</v>
      </c>
      <c r="N19" s="41" t="n">
        <f aca="false">N7*N18</f>
        <v>198787.289308862</v>
      </c>
    </row>
    <row r="20" customFormat="false" ht="15" hidden="false" customHeight="false" outlineLevel="0" collapsed="false">
      <c r="A20" s="5" t="s">
        <v>194</v>
      </c>
      <c r="B20" s="44" t="s">
        <v>131</v>
      </c>
      <c r="C20" s="41" t="n">
        <f aca="false">C19-B19</f>
        <v>9889</v>
      </c>
      <c r="D20" s="41" t="n">
        <f aca="false">D19-C19</f>
        <v>13016</v>
      </c>
      <c r="E20" s="41" t="n">
        <f aca="false">E19-D19</f>
        <v>27292.8998173357</v>
      </c>
      <c r="F20" s="41" t="n">
        <f aca="false">F19-E19</f>
        <v>22487.6019305876</v>
      </c>
      <c r="G20" s="41" t="n">
        <f aca="false">G19-F19</f>
        <v>20416.3754369808</v>
      </c>
      <c r="H20" s="41" t="n">
        <f aca="false">H19-G19</f>
        <v>18374.7378932827</v>
      </c>
      <c r="I20" s="41" t="n">
        <f aca="false">I19-H19</f>
        <v>16863.9261109462</v>
      </c>
      <c r="J20" s="41" t="n">
        <f aca="false">J19-I19</f>
        <v>15105.2595308046</v>
      </c>
      <c r="K20" s="41" t="n">
        <f aca="false">K19-J19</f>
        <v>13718.3220647944</v>
      </c>
      <c r="L20" s="41" t="n">
        <f aca="false">L19-K19</f>
        <v>12460.8092088549</v>
      </c>
      <c r="M20" s="41" t="n">
        <f aca="false">M19-L19</f>
        <v>10716.2959196153</v>
      </c>
      <c r="N20" s="41" t="n">
        <f aca="false">N19-M19</f>
        <v>9466.0613956601</v>
      </c>
    </row>
    <row r="21" customFormat="false" ht="15" hidden="false" customHeight="false" outlineLevel="0" collapsed="false">
      <c r="A21" s="8" t="s">
        <v>195</v>
      </c>
      <c r="B21" s="44" t="s">
        <v>131</v>
      </c>
      <c r="C21" s="42" t="n">
        <f aca="false">C15+C11-C17-C20</f>
        <v>59387.3069526099</v>
      </c>
      <c r="D21" s="42" t="n">
        <f aca="false">D15+D11-D17-D20</f>
        <v>94461.3939837398</v>
      </c>
      <c r="E21" s="42" t="n">
        <f aca="false">E15+E11-E17-E20</f>
        <v>185309.937772664</v>
      </c>
      <c r="F21" s="42" t="n">
        <f aca="false">F15+F11-F17-F20</f>
        <v>262155.495179653</v>
      </c>
      <c r="G21" s="42" t="n">
        <f aca="false">G15+G11-G17-G20</f>
        <v>324660.441096919</v>
      </c>
      <c r="H21" s="42" t="n">
        <f aca="false">H15+H11-H17-H20</f>
        <v>376157.980889117</v>
      </c>
      <c r="I21" s="42" t="n">
        <f aca="false">I15+I11-I17-I20</f>
        <v>418473.339111523</v>
      </c>
      <c r="J21" s="42" t="n">
        <f aca="false">J15+J11-J17-J20</f>
        <v>438892.663541225</v>
      </c>
      <c r="K21" s="42" t="n">
        <f aca="false">K15+K11-K17-K20</f>
        <v>463907.254657699</v>
      </c>
      <c r="L21" s="42" t="n">
        <f aca="false">L15+L11-L17-L20</f>
        <v>483680.836186366</v>
      </c>
      <c r="M21" s="42" t="n">
        <f aca="false">M15+M11-M17-M20</f>
        <v>495557.80253337</v>
      </c>
      <c r="N21" s="42" t="n">
        <f aca="false">N15+N11-N17-N20</f>
        <v>501503.894030728</v>
      </c>
    </row>
    <row r="22" customFormat="false" ht="15" hidden="false" customHeight="false" outlineLevel="0" collapsed="false">
      <c r="A22" s="5" t="s">
        <v>196</v>
      </c>
      <c r="C22" s="45" t="n">
        <f aca="false">C21/C7</f>
        <v>0.455085610800324</v>
      </c>
      <c r="D22" s="45" t="n">
        <f aca="false">D21/D7</f>
        <v>0.437446831885726</v>
      </c>
      <c r="E22" s="45" t="n">
        <f aca="false">E21/E7</f>
        <v>0.458910536393974</v>
      </c>
      <c r="F22" s="45" t="n">
        <f aca="false">F21/F7</f>
        <v>0.470445369296641</v>
      </c>
      <c r="G22" s="45" t="n">
        <f aca="false">G21/G7</f>
        <v>0.466089794541771</v>
      </c>
      <c r="H22" s="45" t="n">
        <f aca="false">H21/H7</f>
        <v>0.457644758548808</v>
      </c>
      <c r="I22" s="45" t="n">
        <f aca="false">I21/I7</f>
        <v>0.446602505420385</v>
      </c>
      <c r="J22" s="45" t="n">
        <f aca="false">J21/J7</f>
        <v>0.4219769252234</v>
      </c>
      <c r="K22" s="45" t="n">
        <f aca="false">K21/K7</f>
        <v>0.409199456462199</v>
      </c>
      <c r="L22" s="45" t="n">
        <f aca="false">L21/L7</f>
        <v>0.396875509723874</v>
      </c>
      <c r="M22" s="45" t="n">
        <f aca="false">M21/M7</f>
        <v>0.383604658832577</v>
      </c>
      <c r="N22" s="45" t="n">
        <f aca="false">N21/N7</f>
        <v>0.369721379652803</v>
      </c>
    </row>
    <row r="23" customFormat="false" ht="15" hidden="false" customHeight="false" outlineLevel="0" collapsed="false">
      <c r="A23" s="5" t="s">
        <v>197</v>
      </c>
      <c r="C23" s="45" t="n">
        <f aca="false">(C17-C11+C20)/C15</f>
        <v>0.159395185613631</v>
      </c>
      <c r="D23" s="45" t="n">
        <f aca="false">(D17-D11+D20)/D15</f>
        <v>0.146508206640544</v>
      </c>
      <c r="E23" s="45" t="n">
        <f aca="false">(E17-E11+E20)/E15</f>
        <v>0.149378060437491</v>
      </c>
      <c r="F23" s="45" t="n">
        <f aca="false">(F17-F11+F20)/F15</f>
        <v>0.103572085943901</v>
      </c>
      <c r="G23" s="45" t="n">
        <f aca="false">(G17-G11+G20)/G15</f>
        <v>0.083222276668429</v>
      </c>
      <c r="H23" s="45" t="n">
        <f aca="false">(H17-H11+H20)/H15</f>
        <v>0.0698277265268126</v>
      </c>
      <c r="I23" s="45" t="n">
        <f aca="false">(I17-I11+I20)/I15</f>
        <v>0.0609703418410734</v>
      </c>
      <c r="J23" s="45" t="n">
        <f aca="false">(J17-J11+J20)/J15</f>
        <v>0.0528015146500564</v>
      </c>
      <c r="K23" s="45" t="n">
        <f aca="false">(K17-K11+K20)/K15</f>
        <v>0.0468216714134664</v>
      </c>
      <c r="L23" s="45" t="n">
        <f aca="false">(L17-L11+L20)/L15</f>
        <v>0.0392749704094081</v>
      </c>
      <c r="M23" s="45" t="n">
        <f aca="false">(M17-M11+M20)/M15</f>
        <v>0.0334979621250275</v>
      </c>
      <c r="N23" s="45" t="n">
        <f aca="false">(N17-N11+N20)/N15</f>
        <v>0.0288379835755121</v>
      </c>
    </row>
    <row r="25" customFormat="false" ht="15" hidden="false" customHeight="false" outlineLevel="0" collapsed="false">
      <c r="A25" s="5" t="s">
        <v>198</v>
      </c>
      <c r="B25" s="45" t="n">
        <f aca="false">(N7/E7)^(1/9)-1</f>
        <v>0.144115570198795</v>
      </c>
    </row>
    <row r="26" customFormat="false" ht="15" hidden="false" customHeight="false" outlineLevel="0" collapsed="false">
      <c r="A26" s="5" t="s">
        <v>199</v>
      </c>
      <c r="B26" s="14" t="n">
        <f aca="false">Historicals!D36</f>
        <v>0.029573303448212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200</v>
      </c>
    </row>
    <row r="2" customFormat="false" ht="15" hidden="false" customHeight="false" outlineLevel="0" collapsed="false">
      <c r="A2" s="2" t="s">
        <v>201</v>
      </c>
    </row>
    <row r="3" customFormat="false" ht="15" hidden="false" customHeight="false" outlineLevel="0" collapsed="false">
      <c r="A3" s="3" t="s">
        <v>24</v>
      </c>
      <c r="B3" s="4"/>
      <c r="C3" s="4"/>
    </row>
    <row r="4" customFormat="false" ht="15" hidden="false" customHeight="false" outlineLevel="0" collapsed="false">
      <c r="A4" s="5" t="s">
        <v>202</v>
      </c>
      <c r="B4" s="50" t="n">
        <f aca="false">Assumptions!B11</f>
        <v>0.047</v>
      </c>
    </row>
    <row r="5" customFormat="false" ht="15" hidden="false" customHeight="false" outlineLevel="0" collapsed="false">
      <c r="A5" s="5" t="s">
        <v>58</v>
      </c>
      <c r="B5" s="51" t="n">
        <f aca="false">Assumptions!B13</f>
        <v>1.6</v>
      </c>
    </row>
    <row r="6" customFormat="false" ht="15" hidden="false" customHeight="false" outlineLevel="0" collapsed="false">
      <c r="A6" s="5" t="s">
        <v>56</v>
      </c>
      <c r="B6" s="50" t="n">
        <f aca="false">Assumptions!B12</f>
        <v>0.045</v>
      </c>
    </row>
    <row r="7" customFormat="false" ht="15" hidden="false" customHeight="false" outlineLevel="0" collapsed="false">
      <c r="A7" s="8" t="s">
        <v>203</v>
      </c>
      <c r="B7" s="35" t="n">
        <f aca="false">B4+B5*B6</f>
        <v>0.119</v>
      </c>
    </row>
    <row r="9" customFormat="false" ht="15" hidden="false" customHeight="false" outlineLevel="0" collapsed="false">
      <c r="A9" s="3" t="s">
        <v>204</v>
      </c>
      <c r="B9" s="4"/>
      <c r="C9" s="4"/>
    </row>
    <row r="10" customFormat="false" ht="15" hidden="false" customHeight="false" outlineLevel="0" collapsed="false">
      <c r="A10" s="5" t="s">
        <v>60</v>
      </c>
      <c r="B10" s="50" t="n">
        <f aca="false">Assumptions!B14</f>
        <v>0.05</v>
      </c>
    </row>
    <row r="11" customFormat="false" ht="15" hidden="false" customHeight="false" outlineLevel="0" collapsed="false">
      <c r="A11" s="5" t="s">
        <v>188</v>
      </c>
      <c r="B11" s="14" t="n">
        <f aca="false">Assumptions!B15</f>
        <v>0.18</v>
      </c>
    </row>
    <row r="12" customFormat="false" ht="15" hidden="false" customHeight="false" outlineLevel="0" collapsed="false">
      <c r="A12" s="8" t="s">
        <v>205</v>
      </c>
      <c r="B12" s="35" t="n">
        <f aca="false">B10*(1-B11)</f>
        <v>0.041</v>
      </c>
    </row>
    <row r="14" customFormat="false" ht="15" hidden="false" customHeight="false" outlineLevel="0" collapsed="false">
      <c r="A14" s="3" t="s">
        <v>206</v>
      </c>
      <c r="B14" s="4"/>
      <c r="C14" s="4"/>
    </row>
    <row r="15" customFormat="false" ht="15" hidden="false" customHeight="false" outlineLevel="0" collapsed="false">
      <c r="A15" s="5" t="s">
        <v>207</v>
      </c>
      <c r="B15" s="49" t="n">
        <f aca="false">Assumptions!B9*Assumptions!B10</f>
        <v>5496181.2</v>
      </c>
    </row>
    <row r="16" customFormat="false" ht="15" hidden="false" customHeight="false" outlineLevel="0" collapsed="false">
      <c r="A16" s="5" t="s">
        <v>208</v>
      </c>
      <c r="B16" s="49" t="n">
        <f aca="false">Historicals!E65</f>
        <v>33366</v>
      </c>
    </row>
    <row r="17" customFormat="false" ht="15" hidden="false" customHeight="false" outlineLevel="0" collapsed="false">
      <c r="A17" s="5" t="s">
        <v>209</v>
      </c>
      <c r="B17" s="52" t="n">
        <f aca="false">B15/(B15+B16)</f>
        <v>0.993965871201895</v>
      </c>
    </row>
    <row r="18" customFormat="false" ht="15" hidden="false" customHeight="false" outlineLevel="0" collapsed="false">
      <c r="A18" s="5" t="s">
        <v>210</v>
      </c>
      <c r="B18" s="52" t="n">
        <f aca="false">B16/(B15+B16)</f>
        <v>0.00603412879810484</v>
      </c>
    </row>
    <row r="20" customFormat="false" ht="15" hidden="false" customHeight="false" outlineLevel="0" collapsed="false">
      <c r="A20" s="8" t="s">
        <v>23</v>
      </c>
      <c r="B20" s="53" t="n">
        <f aca="false">B17*B7+B18*B12</f>
        <v>0.118529337953748</v>
      </c>
    </row>
    <row r="22" customFormat="false" ht="15" hidden="false" customHeight="false" outlineLevel="0" collapsed="false">
      <c r="A22" s="8" t="s">
        <v>211</v>
      </c>
    </row>
    <row r="23" customFormat="false" ht="15" hidden="false" customHeight="false" outlineLevel="0" collapsed="false">
      <c r="A23" s="5" t="s">
        <v>212</v>
      </c>
      <c r="B23" s="54" t="n">
        <v>1.2</v>
      </c>
      <c r="C23" s="55" t="n">
        <f aca="false">$B$17*($B$4+B23*$B$6)+$B$18*$B$12</f>
        <v>0.100637952272114</v>
      </c>
    </row>
    <row r="24" customFormat="false" ht="15" hidden="false" customHeight="false" outlineLevel="0" collapsed="false">
      <c r="A24" s="5" t="s">
        <v>213</v>
      </c>
      <c r="B24" s="54" t="n">
        <v>1.4</v>
      </c>
      <c r="C24" s="55" t="n">
        <f aca="false">$B$17*($B$4+B24*$B$6)+$B$18*$B$12</f>
        <v>0.109583645112931</v>
      </c>
    </row>
    <row r="25" customFormat="false" ht="15" hidden="false" customHeight="false" outlineLevel="0" collapsed="false">
      <c r="A25" s="5" t="s">
        <v>214</v>
      </c>
      <c r="B25" s="54" t="n">
        <v>1.6</v>
      </c>
      <c r="C25" s="55" t="n">
        <f aca="false">$B$17*($B$4+B25*$B$6)+$B$18*$B$12</f>
        <v>0.118529337953748</v>
      </c>
    </row>
    <row r="26" customFormat="false" ht="15" hidden="false" customHeight="false" outlineLevel="0" collapsed="false">
      <c r="A26" s="5" t="s">
        <v>215</v>
      </c>
      <c r="B26" s="54" t="n">
        <v>1.8</v>
      </c>
      <c r="C26" s="55" t="n">
        <f aca="false">$B$17*($B$4+B26*$B$6)+$B$18*$B$12</f>
        <v>0.127475030794565</v>
      </c>
    </row>
    <row r="27" customFormat="false" ht="15" hidden="false" customHeight="false" outlineLevel="0" collapsed="false">
      <c r="A27" s="5" t="s">
        <v>216</v>
      </c>
      <c r="B27" s="54" t="n">
        <v>2</v>
      </c>
      <c r="C27" s="55" t="n">
        <f aca="false">$B$17*($B$4+B27*$B$6)+$B$18*$B$12</f>
        <v>0.136420723635382</v>
      </c>
    </row>
    <row r="28" customFormat="false" ht="15" hidden="false" customHeight="false" outlineLevel="0" collapsed="false">
      <c r="A28" s="5" t="s">
        <v>217</v>
      </c>
      <c r="B28" s="54" t="n">
        <v>2.22</v>
      </c>
      <c r="C28" s="55" t="n">
        <f aca="false">$B$17*($B$4+B28*$B$6)+$B$18*$B$12</f>
        <v>0.146260985760281</v>
      </c>
    </row>
    <row r="30" customFormat="false" ht="15" hidden="false" customHeight="true" outlineLevel="0" collapsed="false">
      <c r="A30" s="46" t="s">
        <v>218</v>
      </c>
      <c r="B30" s="46"/>
      <c r="C30" s="46"/>
    </row>
    <row r="31" customFormat="false" ht="15" hidden="false" customHeight="false" outlineLevel="0" collapsed="false">
      <c r="A31" s="46"/>
      <c r="B31" s="46"/>
      <c r="C31" s="46"/>
    </row>
    <row r="32" customFormat="false" ht="15" hidden="false" customHeight="false" outlineLevel="0" collapsed="false">
      <c r="A32" s="46"/>
      <c r="B32" s="46"/>
      <c r="C32" s="46"/>
    </row>
  </sheetData>
  <mergeCells count="1">
    <mergeCell ref="A30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14" min="3" style="0" width="13"/>
  </cols>
  <sheetData>
    <row r="1" customFormat="false" ht="17.35" hidden="false" customHeight="false" outlineLevel="0" collapsed="false">
      <c r="A1" s="1" t="s">
        <v>219</v>
      </c>
    </row>
    <row r="2" customFormat="false" ht="15" hidden="false" customHeight="false" outlineLevel="0" collapsed="false">
      <c r="A2" s="2" t="s">
        <v>220</v>
      </c>
    </row>
    <row r="3" customFormat="false" ht="15" hidden="false" customHeight="false" outlineLevel="0" collapsed="false">
      <c r="A3" s="8" t="s">
        <v>182</v>
      </c>
      <c r="B3" s="47" t="str">
        <f aca="false">Assumptions!B4</f>
        <v>Base</v>
      </c>
    </row>
    <row r="4" customFormat="false" ht="15" hidden="false" customHeight="false" outlineLevel="0" collapsed="false">
      <c r="A4" s="3" t="s">
        <v>221</v>
      </c>
      <c r="B4" s="4"/>
      <c r="C4" s="4"/>
      <c r="D4" s="4"/>
      <c r="E4" s="12" t="str">
        <f aca="false">Forecast!E4</f>
        <v>FY2027E</v>
      </c>
      <c r="F4" s="12" t="str">
        <f aca="false">Forecast!F4</f>
        <v>FY2028E</v>
      </c>
      <c r="G4" s="12" t="str">
        <f aca="false">Forecast!G4</f>
        <v>FY2029E</v>
      </c>
      <c r="H4" s="12" t="str">
        <f aca="false">Forecast!H4</f>
        <v>FY2030E</v>
      </c>
      <c r="I4" s="12" t="str">
        <f aca="false">Forecast!I4</f>
        <v>FY2031E</v>
      </c>
      <c r="J4" s="12" t="str">
        <f aca="false">Forecast!J4</f>
        <v>FY2032E</v>
      </c>
      <c r="K4" s="12" t="str">
        <f aca="false">Forecast!K4</f>
        <v>FY2033E</v>
      </c>
      <c r="L4" s="12" t="str">
        <f aca="false">Forecast!L4</f>
        <v>FY2034E</v>
      </c>
      <c r="M4" s="12" t="str">
        <f aca="false">Forecast!M4</f>
        <v>FY2035E</v>
      </c>
      <c r="N4" s="12" t="str">
        <f aca="false">Forecast!N4</f>
        <v>FY2036E</v>
      </c>
    </row>
    <row r="5" customFormat="false" ht="15" hidden="false" customHeight="false" outlineLevel="0" collapsed="false">
      <c r="A5" s="5" t="s">
        <v>222</v>
      </c>
      <c r="E5" s="49" t="n">
        <f aca="false">Forecast!E21</f>
        <v>185309.937772664</v>
      </c>
      <c r="F5" s="49" t="n">
        <f aca="false">Forecast!F21</f>
        <v>262155.495179653</v>
      </c>
      <c r="G5" s="49" t="n">
        <f aca="false">Forecast!G21</f>
        <v>324660.441096919</v>
      </c>
      <c r="H5" s="49" t="n">
        <f aca="false">Forecast!H21</f>
        <v>376157.980889117</v>
      </c>
      <c r="I5" s="49" t="n">
        <f aca="false">Forecast!I21</f>
        <v>418473.339111523</v>
      </c>
      <c r="J5" s="49" t="n">
        <f aca="false">Forecast!J21</f>
        <v>438892.663541225</v>
      </c>
      <c r="K5" s="49" t="n">
        <f aca="false">Forecast!K21</f>
        <v>463907.254657699</v>
      </c>
      <c r="L5" s="49" t="n">
        <f aca="false">Forecast!L21</f>
        <v>483680.836186366</v>
      </c>
      <c r="M5" s="49" t="n">
        <f aca="false">Forecast!M21</f>
        <v>495557.80253337</v>
      </c>
      <c r="N5" s="49" t="n">
        <f aca="false">Forecast!N21</f>
        <v>501503.894030728</v>
      </c>
    </row>
    <row r="6" customFormat="false" ht="15" hidden="false" customHeight="false" outlineLevel="0" collapsed="false">
      <c r="A6" s="5" t="s">
        <v>223</v>
      </c>
      <c r="E6" s="56" t="n">
        <f aca="false">$B$15</f>
        <v>0.301369863013699</v>
      </c>
      <c r="F6" s="57" t="n">
        <v>1</v>
      </c>
      <c r="G6" s="57" t="n">
        <v>1</v>
      </c>
      <c r="H6" s="57" t="n">
        <v>1</v>
      </c>
      <c r="I6" s="57" t="n">
        <v>1</v>
      </c>
      <c r="J6" s="57" t="n">
        <v>1</v>
      </c>
      <c r="K6" s="57" t="n">
        <v>1</v>
      </c>
      <c r="L6" s="57" t="n">
        <v>1</v>
      </c>
      <c r="M6" s="57" t="n">
        <v>1</v>
      </c>
      <c r="N6" s="57" t="n">
        <v>1</v>
      </c>
    </row>
    <row r="7" customFormat="false" ht="15" hidden="false" customHeight="false" outlineLevel="0" collapsed="false">
      <c r="A7" s="8" t="s">
        <v>224</v>
      </c>
      <c r="E7" s="42" t="n">
        <f aca="false">E5*E6</f>
        <v>55846.8305616249</v>
      </c>
      <c r="F7" s="42" t="n">
        <f aca="false">F5*F6</f>
        <v>262155.495179653</v>
      </c>
      <c r="G7" s="42" t="n">
        <f aca="false">G5*G6</f>
        <v>324660.441096919</v>
      </c>
      <c r="H7" s="42" t="n">
        <f aca="false">H5*H6</f>
        <v>376157.980889117</v>
      </c>
      <c r="I7" s="42" t="n">
        <f aca="false">I5*I6</f>
        <v>418473.339111523</v>
      </c>
      <c r="J7" s="42" t="n">
        <f aca="false">J5*J6</f>
        <v>438892.663541225</v>
      </c>
      <c r="K7" s="42" t="n">
        <f aca="false">K5*K6</f>
        <v>463907.254657699</v>
      </c>
      <c r="L7" s="42" t="n">
        <f aca="false">L5*L6</f>
        <v>483680.836186366</v>
      </c>
      <c r="M7" s="42" t="n">
        <f aca="false">M5*M6</f>
        <v>495557.80253337</v>
      </c>
      <c r="N7" s="42" t="n">
        <f aca="false">N5*N6</f>
        <v>501503.894030728</v>
      </c>
    </row>
    <row r="8" customFormat="false" ht="15" hidden="false" customHeight="false" outlineLevel="0" collapsed="false">
      <c r="A8" s="5" t="s">
        <v>225</v>
      </c>
      <c r="E8" s="56" t="n">
        <f aca="false">$B$15/2</f>
        <v>0.150684931506849</v>
      </c>
      <c r="F8" s="56" t="n">
        <f aca="false">$B$15+0.5</f>
        <v>0.801369863013699</v>
      </c>
      <c r="G8" s="56" t="n">
        <f aca="false">F8+1</f>
        <v>1.8013698630137</v>
      </c>
      <c r="H8" s="56" t="n">
        <f aca="false">G8+1</f>
        <v>2.8013698630137</v>
      </c>
      <c r="I8" s="56" t="n">
        <f aca="false">H8+1</f>
        <v>3.8013698630137</v>
      </c>
      <c r="J8" s="56" t="n">
        <f aca="false">I8+1</f>
        <v>4.8013698630137</v>
      </c>
      <c r="K8" s="56" t="n">
        <f aca="false">J8+1</f>
        <v>5.8013698630137</v>
      </c>
      <c r="L8" s="56" t="n">
        <f aca="false">K8+1</f>
        <v>6.8013698630137</v>
      </c>
      <c r="M8" s="56" t="n">
        <f aca="false">L8+1</f>
        <v>7.8013698630137</v>
      </c>
      <c r="N8" s="56" t="n">
        <f aca="false">M8+1</f>
        <v>8.8013698630137</v>
      </c>
    </row>
    <row r="9" customFormat="false" ht="15" hidden="false" customHeight="false" outlineLevel="0" collapsed="false">
      <c r="A9" s="5" t="s">
        <v>226</v>
      </c>
      <c r="E9" s="58" t="n">
        <f aca="false">1/(1+$B$14)^E8</f>
        <v>0.983262718963067</v>
      </c>
      <c r="F9" s="58" t="n">
        <f aca="false">1/(1+$B$14)^F8</f>
        <v>0.91414577417076</v>
      </c>
      <c r="G9" s="58" t="n">
        <f aca="false">1/(1+$B$14)^G8</f>
        <v>0.817274740279151</v>
      </c>
      <c r="H9" s="58" t="n">
        <f aca="false">1/(1+$B$14)^H8</f>
        <v>0.73066902453742</v>
      </c>
      <c r="I9" s="58" t="n">
        <f aca="false">1/(1+$B$14)^I8</f>
        <v>0.653240822340982</v>
      </c>
      <c r="J9" s="58" t="n">
        <f aca="false">1/(1+$B$14)^J8</f>
        <v>0.584017602556612</v>
      </c>
      <c r="K9" s="58" t="n">
        <f aca="false">1/(1+$B$14)^K8</f>
        <v>0.522129892118003</v>
      </c>
      <c r="L9" s="58" t="n">
        <f aca="false">1/(1+$B$14)^L8</f>
        <v>0.466800355074454</v>
      </c>
      <c r="M9" s="58" t="n">
        <f aca="false">1/(1+$B$14)^M8</f>
        <v>0.41733402892089</v>
      </c>
      <c r="N9" s="58" t="n">
        <f aca="false">1/(1+$B$14)^N8</f>
        <v>0.373109595573386</v>
      </c>
    </row>
    <row r="10" customFormat="false" ht="15" hidden="false" customHeight="false" outlineLevel="0" collapsed="false">
      <c r="A10" s="8" t="s">
        <v>227</v>
      </c>
      <c r="E10" s="42" t="n">
        <f aca="false">E7*E9</f>
        <v>54912.106463493</v>
      </c>
      <c r="F10" s="42" t="n">
        <f aca="false">F7*F9</f>
        <v>239648.338094122</v>
      </c>
      <c r="G10" s="42" t="n">
        <f aca="false">G7*G9</f>
        <v>265336.777676399</v>
      </c>
      <c r="H10" s="42" t="n">
        <f aca="false">H7*H9</f>
        <v>274846.984968217</v>
      </c>
      <c r="I10" s="42" t="n">
        <f aca="false">I7*I9</f>
        <v>273363.868168988</v>
      </c>
      <c r="J10" s="42" t="n">
        <f aca="false">J7*J9</f>
        <v>256321.041141032</v>
      </c>
      <c r="K10" s="42" t="n">
        <f aca="false">K7*K9</f>
        <v>242219.844827183</v>
      </c>
      <c r="L10" s="42" t="n">
        <f aca="false">L7*L9</f>
        <v>225782.386074504</v>
      </c>
      <c r="M10" s="42" t="n">
        <f aca="false">M7*M9</f>
        <v>206813.134294434</v>
      </c>
      <c r="N10" s="42" t="n">
        <f aca="false">N7*N9</f>
        <v>187115.915080283</v>
      </c>
    </row>
    <row r="13" customFormat="false" ht="15" hidden="false" customHeight="false" outlineLevel="0" collapsed="false">
      <c r="A13" s="3" t="s">
        <v>228</v>
      </c>
      <c r="B13" s="4"/>
      <c r="C13" s="4"/>
    </row>
    <row r="14" customFormat="false" ht="15" hidden="false" customHeight="false" outlineLevel="0" collapsed="false">
      <c r="A14" s="5" t="s">
        <v>23</v>
      </c>
      <c r="B14" s="50" t="n">
        <f aca="false">WACC!B20</f>
        <v>0.118529337953748</v>
      </c>
    </row>
    <row r="15" customFormat="false" ht="15" hidden="false" customHeight="false" outlineLevel="0" collapsed="false">
      <c r="A15" s="5" t="s">
        <v>229</v>
      </c>
      <c r="B15" s="59" t="n">
        <f aca="false">(Assumptions!B8-Assumptions!B7)/365</f>
        <v>0.301369863013699</v>
      </c>
    </row>
    <row r="16" customFormat="false" ht="15" hidden="false" customHeight="false" outlineLevel="0" collapsed="false">
      <c r="A16" s="5" t="s">
        <v>230</v>
      </c>
      <c r="B16" s="50" t="n">
        <f aca="false">Assumptions!E49</f>
        <v>0.035</v>
      </c>
    </row>
    <row r="17" customFormat="false" ht="15" hidden="false" customHeight="false" outlineLevel="0" collapsed="false">
      <c r="A17" s="5" t="s">
        <v>231</v>
      </c>
      <c r="B17" s="15" t="n">
        <f aca="false">Assumptions!E50</f>
        <v>0.3</v>
      </c>
    </row>
    <row r="18" customFormat="false" ht="15" hidden="false" customHeight="false" outlineLevel="0" collapsed="false">
      <c r="A18" s="5" t="s">
        <v>232</v>
      </c>
      <c r="B18" s="60" t="n">
        <f aca="false">Assumptions!E51</f>
        <v>14</v>
      </c>
    </row>
    <row r="19" customFormat="false" ht="15" hidden="false" customHeight="false" outlineLevel="0" collapsed="false">
      <c r="A19" s="8" t="s">
        <v>233</v>
      </c>
      <c r="B19" s="42" t="n">
        <f aca="false">SUM(E10:N10)</f>
        <v>2226360.39678866</v>
      </c>
    </row>
    <row r="21" customFormat="false" ht="15" hidden="false" customHeight="false" outlineLevel="0" collapsed="false">
      <c r="A21" s="3" t="s">
        <v>234</v>
      </c>
      <c r="B21" s="4"/>
      <c r="C21" s="4"/>
    </row>
    <row r="22" customFormat="false" ht="15" hidden="false" customHeight="false" outlineLevel="0" collapsed="false">
      <c r="A22" s="5" t="s">
        <v>235</v>
      </c>
      <c r="B22" s="49" t="n">
        <f aca="false">Forecast!N7</f>
        <v>1356437.365082</v>
      </c>
    </row>
    <row r="23" customFormat="false" ht="15" hidden="false" customHeight="false" outlineLevel="0" collapsed="false">
      <c r="A23" s="5" t="s">
        <v>236</v>
      </c>
      <c r="B23" s="41" t="n">
        <f aca="false">B22*(1+B16)*Forecast!N8*(1-Forecast!N13)</f>
        <v>534469.554557751</v>
      </c>
    </row>
    <row r="24" customFormat="false" ht="15" hidden="false" customHeight="false" outlineLevel="0" collapsed="false">
      <c r="A24" s="5" t="s">
        <v>237</v>
      </c>
      <c r="B24" s="45" t="n">
        <f aca="false">B16/B17</f>
        <v>0.116666666666667</v>
      </c>
    </row>
    <row r="25" customFormat="false" ht="15" hidden="false" customHeight="false" outlineLevel="0" collapsed="false">
      <c r="A25" s="5" t="s">
        <v>238</v>
      </c>
      <c r="B25" s="41" t="n">
        <f aca="false">B23*(1-B24)</f>
        <v>472114.77319268</v>
      </c>
    </row>
    <row r="26" customFormat="false" ht="15" hidden="false" customHeight="false" outlineLevel="0" collapsed="false">
      <c r="A26" s="5" t="s">
        <v>239</v>
      </c>
      <c r="B26" s="41" t="n">
        <f aca="false">B25/(B14-B16)</f>
        <v>5652083.26509305</v>
      </c>
    </row>
    <row r="27" customFormat="false" ht="15" hidden="false" customHeight="false" outlineLevel="0" collapsed="false">
      <c r="A27" s="5" t="s">
        <v>240</v>
      </c>
      <c r="B27" s="56" t="n">
        <f aca="false">B15+9-0.5</f>
        <v>8.8013698630137</v>
      </c>
    </row>
    <row r="28" customFormat="false" ht="15" hidden="false" customHeight="false" outlineLevel="0" collapsed="false">
      <c r="A28" s="5" t="s">
        <v>241</v>
      </c>
      <c r="B28" s="41" t="n">
        <f aca="false">B26/(1+B14)^B27</f>
        <v>2108846.50118597</v>
      </c>
    </row>
    <row r="29" customFormat="false" ht="15" hidden="false" customHeight="false" outlineLevel="0" collapsed="false">
      <c r="A29" s="8" t="s">
        <v>242</v>
      </c>
      <c r="B29" s="42" t="n">
        <f aca="false">B19+B28</f>
        <v>4335206.89797463</v>
      </c>
    </row>
    <row r="30" customFormat="false" ht="15" hidden="false" customHeight="false" outlineLevel="0" collapsed="false">
      <c r="A30" s="5" t="s">
        <v>243</v>
      </c>
      <c r="B30" s="45" t="n">
        <f aca="false">B28/B29</f>
        <v>0.486446564331499</v>
      </c>
    </row>
    <row r="31" customFormat="false" ht="15" hidden="false" customHeight="false" outlineLevel="0" collapsed="false">
      <c r="A31" s="5" t="s">
        <v>244</v>
      </c>
      <c r="B31" s="61" t="n">
        <f aca="false">B26*(1+B14)^0.5/Forecast!N12</f>
        <v>8.99365898767407</v>
      </c>
    </row>
    <row r="33" customFormat="false" ht="15" hidden="false" customHeight="false" outlineLevel="0" collapsed="false">
      <c r="A33" s="3" t="s">
        <v>245</v>
      </c>
      <c r="B33" s="4"/>
      <c r="C33" s="4"/>
    </row>
    <row r="34" customFormat="false" ht="15" hidden="false" customHeight="false" outlineLevel="0" collapsed="false">
      <c r="A34" s="5" t="s">
        <v>246</v>
      </c>
      <c r="B34" s="49" t="n">
        <f aca="false">Forecast!N12</f>
        <v>664654.308890178</v>
      </c>
    </row>
    <row r="35" customFormat="false" ht="15" hidden="false" customHeight="false" outlineLevel="0" collapsed="false">
      <c r="A35" s="5" t="s">
        <v>247</v>
      </c>
      <c r="B35" s="61" t="n">
        <f aca="false">B18</f>
        <v>14</v>
      </c>
    </row>
    <row r="36" customFormat="false" ht="15" hidden="false" customHeight="false" outlineLevel="0" collapsed="false">
      <c r="A36" s="5" t="s">
        <v>248</v>
      </c>
      <c r="B36" s="41" t="n">
        <f aca="false">B34*B35</f>
        <v>9305160.32446249</v>
      </c>
    </row>
    <row r="37" customFormat="false" ht="15" hidden="false" customHeight="false" outlineLevel="0" collapsed="false">
      <c r="A37" s="5" t="s">
        <v>249</v>
      </c>
      <c r="B37" s="56" t="n">
        <f aca="false">B15+9</f>
        <v>9.3013698630137</v>
      </c>
    </row>
    <row r="38" customFormat="false" ht="15" hidden="false" customHeight="false" outlineLevel="0" collapsed="false">
      <c r="A38" s="5" t="s">
        <v>241</v>
      </c>
      <c r="B38" s="41" t="n">
        <f aca="false">B36/(1+B14)^B37</f>
        <v>3282740.76847548</v>
      </c>
    </row>
    <row r="39" customFormat="false" ht="15" hidden="false" customHeight="false" outlineLevel="0" collapsed="false">
      <c r="A39" s="8" t="s">
        <v>242</v>
      </c>
      <c r="B39" s="42" t="n">
        <f aca="false">B19+B38</f>
        <v>5509101.16526414</v>
      </c>
    </row>
    <row r="40" customFormat="false" ht="15" hidden="false" customHeight="false" outlineLevel="0" collapsed="false">
      <c r="A40" s="5" t="s">
        <v>243</v>
      </c>
      <c r="B40" s="45" t="n">
        <f aca="false">B38/B39</f>
        <v>0.595875927850762</v>
      </c>
    </row>
    <row r="41" customFormat="false" ht="15" hidden="false" customHeight="false" outlineLevel="0" collapsed="false">
      <c r="A41" s="5" t="s">
        <v>250</v>
      </c>
      <c r="B41" s="55" t="n">
        <f aca="false">(B36/(1+B14)^0.5*B14-Forecast!N21)/(B36/(1+B14)^0.5+Forecast!N21)</f>
        <v>0.0582113883371999</v>
      </c>
    </row>
    <row r="43" customFormat="false" ht="15" hidden="false" customHeight="false" outlineLevel="0" collapsed="false">
      <c r="A43" s="3" t="s">
        <v>251</v>
      </c>
      <c r="B43" s="12" t="s">
        <v>252</v>
      </c>
      <c r="C43" s="12" t="s">
        <v>247</v>
      </c>
      <c r="D43" s="12" t="s">
        <v>253</v>
      </c>
    </row>
    <row r="44" customFormat="false" ht="15" hidden="false" customHeight="false" outlineLevel="0" collapsed="false">
      <c r="A44" s="5" t="s">
        <v>242</v>
      </c>
      <c r="B44" s="41" t="n">
        <f aca="false">B29</f>
        <v>4335206.89797463</v>
      </c>
      <c r="C44" s="41" t="n">
        <f aca="false">B39</f>
        <v>5509101.16526414</v>
      </c>
      <c r="D44" s="49" t="n">
        <f aca="false">Assumptions!B18*B44+(1-Assumptions!B18)*C44</f>
        <v>4922154.03161938</v>
      </c>
    </row>
    <row r="45" customFormat="false" ht="15" hidden="false" customHeight="false" outlineLevel="0" collapsed="false">
      <c r="A45" s="5" t="s">
        <v>254</v>
      </c>
      <c r="B45" s="49" t="n">
        <f aca="false">-Historicals!$E$65</f>
        <v>-33366</v>
      </c>
      <c r="C45" s="49" t="n">
        <f aca="false">-Historicals!$E$65</f>
        <v>-33366</v>
      </c>
      <c r="D45" s="49" t="n">
        <f aca="false">-Historicals!$E$65</f>
        <v>-33366</v>
      </c>
    </row>
    <row r="46" customFormat="false" ht="15" hidden="false" customHeight="false" outlineLevel="0" collapsed="false">
      <c r="A46" s="5" t="s">
        <v>255</v>
      </c>
      <c r="B46" s="49" t="n">
        <f aca="false">Historicals!$E$39</f>
        <v>56586</v>
      </c>
      <c r="C46" s="49" t="n">
        <f aca="false">Historicals!$E$39</f>
        <v>56586</v>
      </c>
      <c r="D46" s="49" t="n">
        <f aca="false">Historicals!$E$39</f>
        <v>56586</v>
      </c>
    </row>
    <row r="47" customFormat="false" ht="15" hidden="false" customHeight="false" outlineLevel="0" collapsed="false">
      <c r="A47" s="5" t="s">
        <v>256</v>
      </c>
      <c r="B47" s="49" t="n">
        <f aca="false">Historicals!$E$40*Assumptions!$B$16</f>
        <v>42783</v>
      </c>
      <c r="C47" s="49" t="n">
        <f aca="false">Historicals!$E$40*Assumptions!$B$16</f>
        <v>42783</v>
      </c>
      <c r="D47" s="49" t="n">
        <f aca="false">Historicals!$E$40*Assumptions!$B$16</f>
        <v>42783</v>
      </c>
    </row>
    <row r="48" customFormat="false" ht="15" hidden="false" customHeight="false" outlineLevel="0" collapsed="false">
      <c r="A48" s="5" t="s">
        <v>257</v>
      </c>
      <c r="B48" s="49" t="n">
        <f aca="false">Historicals!$E$50*Assumptions!$B$17</f>
        <v>38367.75</v>
      </c>
      <c r="C48" s="49" t="n">
        <f aca="false">Historicals!$E$50*Assumptions!$B$17</f>
        <v>38367.75</v>
      </c>
      <c r="D48" s="49" t="n">
        <f aca="false">Historicals!$E$50*Assumptions!$B$17</f>
        <v>38367.75</v>
      </c>
    </row>
    <row r="49" customFormat="false" ht="15" hidden="false" customHeight="false" outlineLevel="0" collapsed="false">
      <c r="A49" s="8" t="s">
        <v>258</v>
      </c>
      <c r="B49" s="42" t="n">
        <f aca="false">SUM(B44:B48)</f>
        <v>4439577.64797463</v>
      </c>
      <c r="C49" s="42" t="n">
        <f aca="false">SUM(C44:C48)</f>
        <v>5613471.91526414</v>
      </c>
      <c r="D49" s="42" t="n">
        <f aca="false">SUM(D44:D48)</f>
        <v>5026524.78161938</v>
      </c>
    </row>
    <row r="50" customFormat="false" ht="15" hidden="false" customHeight="false" outlineLevel="0" collapsed="false">
      <c r="A50" s="5" t="s">
        <v>52</v>
      </c>
      <c r="B50" s="49" t="n">
        <f aca="false">Assumptions!$B$10</f>
        <v>24285</v>
      </c>
      <c r="C50" s="49" t="n">
        <f aca="false">Assumptions!$B$10</f>
        <v>24285</v>
      </c>
      <c r="D50" s="49" t="n">
        <f aca="false">Assumptions!$B$10</f>
        <v>24285</v>
      </c>
    </row>
    <row r="51" customFormat="false" ht="15" hidden="false" customHeight="false" outlineLevel="0" collapsed="false">
      <c r="A51" s="8" t="s">
        <v>259</v>
      </c>
      <c r="B51" s="62" t="n">
        <f aca="false">B49/B50</f>
        <v>182.811515255286</v>
      </c>
      <c r="C51" s="62" t="n">
        <f aca="false">C49/C50</f>
        <v>231.149759739104</v>
      </c>
      <c r="D51" s="62" t="n">
        <f aca="false">D49/D50</f>
        <v>206.980637497195</v>
      </c>
    </row>
    <row r="52" customFormat="false" ht="15" hidden="false" customHeight="false" outlineLevel="0" collapsed="false">
      <c r="A52" s="5" t="s">
        <v>260</v>
      </c>
      <c r="B52" s="13" t="n">
        <f aca="false">Assumptions!$B$9</f>
        <v>226.32</v>
      </c>
      <c r="C52" s="13" t="n">
        <f aca="false">Assumptions!$B$9</f>
        <v>226.32</v>
      </c>
      <c r="D52" s="13" t="n">
        <f aca="false">Assumptions!$B$9</f>
        <v>226.32</v>
      </c>
    </row>
    <row r="53" customFormat="false" ht="15" hidden="false" customHeight="false" outlineLevel="0" collapsed="false">
      <c r="A53" s="8" t="s">
        <v>261</v>
      </c>
      <c r="B53" s="34" t="n">
        <f aca="false">B51/B52-1</f>
        <v>-0.192243216440057</v>
      </c>
      <c r="C53" s="34" t="n">
        <f aca="false">C51/C52-1</f>
        <v>0.0213404018164718</v>
      </c>
      <c r="D53" s="34" t="n">
        <f aca="false">D51/D52-1</f>
        <v>-0.0854514073117926</v>
      </c>
    </row>
    <row r="54" customFormat="false" ht="15" hidden="false" customHeight="false" outlineLevel="0" collapsed="false">
      <c r="A54" s="8" t="s">
        <v>262</v>
      </c>
      <c r="D54" s="47" t="str">
        <f aca="false">IF(D53&gt;Assumptions!B23,"BUY",IF(D53&lt;-Assumptions!B23,"SELL","HOLD"))</f>
        <v>HOLD</v>
      </c>
    </row>
    <row r="55" customFormat="false" ht="15" hidden="false" customHeight="false" outlineLevel="0" collapsed="false">
      <c r="A55" s="5" t="s">
        <v>263</v>
      </c>
      <c r="B55" s="41" t="n">
        <f aca="false">SUM(B45:B48)</f>
        <v>104370.75</v>
      </c>
    </row>
    <row r="57" customFormat="false" ht="15" hidden="false" customHeight="true" outlineLevel="0" collapsed="false">
      <c r="A57" s="46" t="s">
        <v>264</v>
      </c>
      <c r="B57" s="46"/>
      <c r="C57" s="46"/>
      <c r="D57" s="46"/>
      <c r="E57" s="46"/>
      <c r="F57" s="46"/>
      <c r="G57" s="46"/>
      <c r="H57" s="46"/>
    </row>
    <row r="58" customFormat="false" ht="15" hidden="false" customHeight="false" outlineLevel="0" collapsed="false">
      <c r="A58" s="46"/>
      <c r="B58" s="46"/>
      <c r="C58" s="46"/>
      <c r="D58" s="46"/>
      <c r="E58" s="46"/>
      <c r="F58" s="46"/>
      <c r="G58" s="46"/>
      <c r="H58" s="46"/>
    </row>
    <row r="59" customFormat="false" ht="15" hidden="false" customHeight="false" outlineLevel="0" collapsed="false">
      <c r="A59" s="46"/>
      <c r="B59" s="46"/>
      <c r="C59" s="46"/>
      <c r="D59" s="46"/>
      <c r="E59" s="46"/>
      <c r="F59" s="46"/>
      <c r="G59" s="46"/>
      <c r="H59" s="46"/>
    </row>
  </sheetData>
  <mergeCells count="1">
    <mergeCell ref="A57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265</v>
      </c>
    </row>
    <row r="2" customFormat="false" ht="15" hidden="false" customHeight="false" outlineLevel="0" collapsed="false">
      <c r="A2" s="2" t="s">
        <v>266</v>
      </c>
    </row>
    <row r="3" customFormat="false" ht="15" hidden="false" customHeight="false" outlineLevel="0" collapsed="false">
      <c r="A3" s="5" t="s">
        <v>260</v>
      </c>
      <c r="B3" s="13" t="n">
        <f aca="false">Assumptions!B9</f>
        <v>226.32</v>
      </c>
    </row>
    <row r="5" customFormat="false" ht="15" hidden="false" customHeight="false" outlineLevel="0" collapsed="false">
      <c r="A5" s="3" t="s">
        <v>267</v>
      </c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8" t="s">
        <v>268</v>
      </c>
      <c r="C6" s="63" t="n">
        <f aca="false">DCF!$B$16+(-0.01)</f>
        <v>0.025</v>
      </c>
      <c r="D6" s="63" t="n">
        <f aca="false">DCF!$B$16+(-0.005)</f>
        <v>0.03</v>
      </c>
      <c r="E6" s="63" t="n">
        <f aca="false">DCF!$B$16+(0)</f>
        <v>0.035</v>
      </c>
      <c r="F6" s="63" t="n">
        <f aca="false">DCF!$B$16+(0.005)</f>
        <v>0.04</v>
      </c>
      <c r="G6" s="63" t="n">
        <f aca="false">DCF!$B$16+(0.01)</f>
        <v>0.045</v>
      </c>
    </row>
    <row r="7" customFormat="false" ht="15" hidden="false" customHeight="false" outlineLevel="0" collapsed="false">
      <c r="B7" s="63" t="n">
        <f aca="false">DCF!$B$14+(-0.015)</f>
        <v>0.103529337953748</v>
      </c>
      <c r="C7" s="43" t="n">
        <f aca="false">(SUMPRODUCT(DCF!$E$7:$N$7/(1+$B7)^DCF!$E$8:$N$8)+Forecast!$N$7*(1+C$6)*Forecast!$N$8*(1-Forecast!$N$13)*(1-C$6/DCF!$B$17)/($B7-C$6)/(1+$B7)^DCF!$B$27+DCF!$B$55)/Assumptions!$B$10</f>
        <v>208.619157772264</v>
      </c>
      <c r="D7" s="43" t="n">
        <f aca="false">(SUMPRODUCT(DCF!$E$7:$N$7/(1+$B7)^DCF!$E$8:$N$8)+Forecast!$N$7*(1+D$6)*Forecast!$N$8*(1-Forecast!$N$13)*(1-D$6/DCF!$B$17)/($B7-D$6)/(1+$B7)^DCF!$B$27+DCF!$B$55)/Assumptions!$B$10</f>
        <v>214.359535410694</v>
      </c>
      <c r="E7" s="43" t="n">
        <f aca="false">(SUMPRODUCT(DCF!$E$7:$N$7/(1+$B7)^DCF!$E$8:$N$8)+Forecast!$N$7*(1+E$6)*Forecast!$N$8*(1-Forecast!$N$13)*(1-E$6/DCF!$B$17)/($B7-E$6)/(1+$B7)^DCF!$B$27+DCF!$B$55)/Assumptions!$B$10</f>
        <v>220.91583561305</v>
      </c>
      <c r="F7" s="43" t="n">
        <f aca="false">(SUMPRODUCT(DCF!$E$7:$N$7/(1+$B7)^DCF!$E$8:$N$8)+Forecast!$N$7*(1+F$6)*Forecast!$N$8*(1-Forecast!$N$13)*(1-F$6/DCF!$B$17)/($B7-F$6)/(1+$B7)^DCF!$B$27+DCF!$B$55)/Assumptions!$B$10</f>
        <v>228.480706986308</v>
      </c>
      <c r="G7" s="43" t="n">
        <f aca="false">(SUMPRODUCT(DCF!$E$7:$N$7/(1+$B7)^DCF!$E$8:$N$8)+Forecast!$N$7*(1+G$6)*Forecast!$N$8*(1-Forecast!$N$13)*(1-G$6/DCF!$B$17)/($B7-G$6)/(1+$B7)^DCF!$B$27+DCF!$B$55)/Assumptions!$B$10</f>
        <v>237.312627895205</v>
      </c>
    </row>
    <row r="8" customFormat="false" ht="15" hidden="false" customHeight="false" outlineLevel="0" collapsed="false">
      <c r="B8" s="63" t="n">
        <f aca="false">DCF!$B$14+(-0.01)</f>
        <v>0.108529337953748</v>
      </c>
      <c r="C8" s="43" t="n">
        <f aca="false">(SUMPRODUCT(DCF!$E$7:$N$7/(1+$B8)^DCF!$E$8:$N$8)+Forecast!$N$7*(1+C$6)*Forecast!$N$8*(1-Forecast!$N$13)*(1-C$6/DCF!$B$17)/($B8-C$6)/(1+$B8)^DCF!$B$27+DCF!$B$55)/Assumptions!$B$10</f>
        <v>196.325467716234</v>
      </c>
      <c r="D8" s="43" t="n">
        <f aca="false">(SUMPRODUCT(DCF!$E$7:$N$7/(1+$B8)^DCF!$E$8:$N$8)+Forecast!$N$7*(1+D$6)*Forecast!$N$8*(1-Forecast!$N$13)*(1-D$6/DCF!$B$17)/($B8-D$6)/(1+$B8)^DCF!$B$27+DCF!$B$55)/Assumptions!$B$10</f>
        <v>201.099150603132</v>
      </c>
      <c r="E8" s="43" t="n">
        <f aca="false">(SUMPRODUCT(DCF!$E$7:$N$7/(1+$B8)^DCF!$E$8:$N$8)+Forecast!$N$7*(1+E$6)*Forecast!$N$8*(1-Forecast!$N$13)*(1-E$6/DCF!$B$17)/($B8-E$6)/(1+$B8)^DCF!$B$27+DCF!$B$55)/Assumptions!$B$10</f>
        <v>206.502592630903</v>
      </c>
      <c r="F8" s="43" t="n">
        <f aca="false">(SUMPRODUCT(DCF!$E$7:$N$7/(1+$B8)^DCF!$E$8:$N$8)+Forecast!$N$7*(1+F$6)*Forecast!$N$8*(1-Forecast!$N$13)*(1-F$6/DCF!$B$17)/($B8-F$6)/(1+$B8)^DCF!$B$27+DCF!$B$55)/Assumptions!$B$10</f>
        <v>212.673638223486</v>
      </c>
      <c r="G8" s="43" t="n">
        <f aca="false">(SUMPRODUCT(DCF!$E$7:$N$7/(1+$B8)^DCF!$E$8:$N$8)+Forecast!$N$7*(1+G$6)*Forecast!$N$8*(1-Forecast!$N$13)*(1-G$6/DCF!$B$17)/($B8-G$6)/(1+$B8)^DCF!$B$27+DCF!$B$55)/Assumptions!$B$10</f>
        <v>219.793527322033</v>
      </c>
    </row>
    <row r="9" customFormat="false" ht="15" hidden="false" customHeight="false" outlineLevel="0" collapsed="false">
      <c r="B9" s="63" t="n">
        <f aca="false">DCF!$B$14+(-0.005)</f>
        <v>0.113529337953748</v>
      </c>
      <c r="C9" s="43" t="n">
        <f aca="false">(SUMPRODUCT(DCF!$E$7:$N$7/(1+$B9)^DCF!$E$8:$N$8)+Forecast!$N$7*(1+C$6)*Forecast!$N$8*(1-Forecast!$N$13)*(1-C$6/DCF!$B$17)/($B9-C$6)/(1+$B9)^DCF!$B$27+DCF!$B$55)/Assumptions!$B$10</f>
        <v>185.418436211377</v>
      </c>
      <c r="D9" s="43" t="n">
        <f aca="false">(SUMPRODUCT(DCF!$E$7:$N$7/(1+$B9)^DCF!$E$8:$N$8)+Forecast!$N$7*(1+D$6)*Forecast!$N$8*(1-Forecast!$N$13)*(1-D$6/DCF!$B$17)/($B9-D$6)/(1+$B9)^DCF!$B$27+DCF!$B$55)/Assumptions!$B$10</f>
        <v>189.418235980567</v>
      </c>
      <c r="E9" s="43" t="n">
        <f aca="false">(SUMPRODUCT(DCF!$E$7:$N$7/(1+$B9)^DCF!$E$8:$N$8)+Forecast!$N$7*(1+E$6)*Forecast!$N$8*(1-Forecast!$N$13)*(1-E$6/DCF!$B$17)/($B9-E$6)/(1+$B9)^DCF!$B$27+DCF!$B$55)/Assumptions!$B$10</f>
        <v>193.909858519901</v>
      </c>
      <c r="F9" s="43" t="n">
        <f aca="false">(SUMPRODUCT(DCF!$E$7:$N$7/(1+$B9)^DCF!$E$8:$N$8)+Forecast!$N$7*(1+F$6)*Forecast!$N$8*(1-Forecast!$N$13)*(1-F$6/DCF!$B$17)/($B9-F$6)/(1+$B9)^DCF!$B$27+DCF!$B$55)/Assumptions!$B$10</f>
        <v>198.993635775201</v>
      </c>
      <c r="G9" s="43" t="n">
        <f aca="false">(SUMPRODUCT(DCF!$E$7:$N$7/(1+$B9)^DCF!$E$8:$N$8)+Forecast!$N$7*(1+G$6)*Forecast!$N$8*(1-Forecast!$N$13)*(1-G$6/DCF!$B$17)/($B9-G$6)/(1+$B9)^DCF!$B$27+DCF!$B$55)/Assumptions!$B$10</f>
        <v>204.799181150082</v>
      </c>
    </row>
    <row r="10" customFormat="false" ht="15" hidden="false" customHeight="false" outlineLevel="0" collapsed="false">
      <c r="B10" s="63" t="n">
        <f aca="false">DCF!$B$14+(0)</f>
        <v>0.118529337953748</v>
      </c>
      <c r="C10" s="43" t="n">
        <f aca="false">(SUMPRODUCT(DCF!$E$7:$N$7/(1+$B10)^DCF!$E$8:$N$8)+Forecast!$N$7*(1+C$6)*Forecast!$N$8*(1-Forecast!$N$13)*(1-C$6/DCF!$B$17)/($B10-C$6)/(1+$B10)^DCF!$B$27+DCF!$B$55)/Assumptions!$B$10</f>
        <v>175.675950513975</v>
      </c>
      <c r="D10" s="43" t="n">
        <f aca="false">(SUMPRODUCT(DCF!$E$7:$N$7/(1+$B10)^DCF!$E$8:$N$8)+Forecast!$N$7*(1+D$6)*Forecast!$N$8*(1-Forecast!$N$13)*(1-D$6/DCF!$B$17)/($B10-D$6)/(1+$B10)^DCF!$B$27+DCF!$B$55)/Assumptions!$B$10</f>
        <v>179.04969819814</v>
      </c>
      <c r="E10" s="43" t="n">
        <f aca="false">(SUMPRODUCT(DCF!$E$7:$N$7/(1+$B10)^DCF!$E$8:$N$8)+Forecast!$N$7*(1+E$6)*Forecast!$N$8*(1-Forecast!$N$13)*(1-E$6/DCF!$B$17)/($B10-E$6)/(1+$B10)^DCF!$B$27+DCF!$B$55)/Assumptions!$B$10</f>
        <v>182.811515255286</v>
      </c>
      <c r="F10" s="43" t="n">
        <f aca="false">(SUMPRODUCT(DCF!$E$7:$N$7/(1+$B10)^DCF!$E$8:$N$8)+Forecast!$N$7*(1+F$6)*Forecast!$N$8*(1-Forecast!$N$13)*(1-F$6/DCF!$B$17)/($B10-F$6)/(1+$B10)^DCF!$B$27+DCF!$B$55)/Assumptions!$B$10</f>
        <v>187.035527365654</v>
      </c>
      <c r="G10" s="43" t="n">
        <f aca="false">(SUMPRODUCT(DCF!$E$7:$N$7/(1+$B10)^DCF!$E$8:$N$8)+Forecast!$N$7*(1+G$6)*Forecast!$N$8*(1-Forecast!$N$13)*(1-G$6/DCF!$B$17)/($B10-G$6)/(1+$B10)^DCF!$B$27+DCF!$B$55)/Assumptions!$B$10</f>
        <v>191.816022414748</v>
      </c>
    </row>
    <row r="11" customFormat="false" ht="15" hidden="false" customHeight="false" outlineLevel="0" collapsed="false">
      <c r="B11" s="63" t="n">
        <f aca="false">DCF!$B$14+(0.005)</f>
        <v>0.123529337953748</v>
      </c>
      <c r="C11" s="43" t="n">
        <f aca="false">(SUMPRODUCT(DCF!$E$7:$N$7/(1+$B11)^DCF!$E$8:$N$8)+Forecast!$N$7*(1+C$6)*Forecast!$N$8*(1-Forecast!$N$13)*(1-C$6/DCF!$B$17)/($B11-C$6)/(1+$B11)^DCF!$B$27+DCF!$B$55)/Assumptions!$B$10</f>
        <v>166.920965839415</v>
      </c>
      <c r="D11" s="43" t="n">
        <f aca="false">(SUMPRODUCT(DCF!$E$7:$N$7/(1+$B11)^DCF!$E$8:$N$8)+Forecast!$N$7*(1+D$6)*Forecast!$N$8*(1-Forecast!$N$13)*(1-D$6/DCF!$B$17)/($B11-D$6)/(1+$B11)^DCF!$B$27+DCF!$B$55)/Assumptions!$B$10</f>
        <v>169.783529207927</v>
      </c>
      <c r="E11" s="43" t="n">
        <f aca="false">(SUMPRODUCT(DCF!$E$7:$N$7/(1+$B11)^DCF!$E$8:$N$8)+Forecast!$N$7*(1+E$6)*Forecast!$N$8*(1-Forecast!$N$13)*(1-E$6/DCF!$B$17)/($B11-E$6)/(1+$B11)^DCF!$B$27+DCF!$B$55)/Assumptions!$B$10</f>
        <v>172.955077570199</v>
      </c>
      <c r="F11" s="43" t="n">
        <f aca="false">(SUMPRODUCT(DCF!$E$7:$N$7/(1+$B11)^DCF!$E$8:$N$8)+Forecast!$N$7*(1+F$6)*Forecast!$N$8*(1-Forecast!$N$13)*(1-F$6/DCF!$B$17)/($B11-F$6)/(1+$B11)^DCF!$B$27+DCF!$B$55)/Assumptions!$B$10</f>
        <v>176.491097717101</v>
      </c>
      <c r="G11" s="43" t="n">
        <f aca="false">(SUMPRODUCT(DCF!$E$7:$N$7/(1+$B11)^DCF!$E$8:$N$8)+Forecast!$N$7*(1+G$6)*Forecast!$N$8*(1-Forecast!$N$13)*(1-G$6/DCF!$B$17)/($B11-G$6)/(1+$B11)^DCF!$B$27+DCF!$B$55)/Assumptions!$B$10</f>
        <v>180.46120792012</v>
      </c>
    </row>
    <row r="12" customFormat="false" ht="15" hidden="false" customHeight="false" outlineLevel="0" collapsed="false">
      <c r="B12" s="63" t="n">
        <f aca="false">DCF!$B$14+(0.01)</f>
        <v>0.128529337953748</v>
      </c>
      <c r="C12" s="43" t="n">
        <f aca="false">(SUMPRODUCT(DCF!$E$7:$N$7/(1+$B12)^DCF!$E$8:$N$8)+Forecast!$N$7*(1+C$6)*Forecast!$N$8*(1-Forecast!$N$13)*(1-C$6/DCF!$B$17)/($B12-C$6)/(1+$B12)^DCF!$B$27+DCF!$B$55)/Assumptions!$B$10</f>
        <v>159.010623512027</v>
      </c>
      <c r="D12" s="43" t="n">
        <f aca="false">(SUMPRODUCT(DCF!$E$7:$N$7/(1+$B12)^DCF!$E$8:$N$8)+Forecast!$N$7*(1+D$6)*Forecast!$N$8*(1-Forecast!$N$13)*(1-D$6/DCF!$B$17)/($B12-D$6)/(1+$B12)^DCF!$B$27+DCF!$B$55)/Assumptions!$B$10</f>
        <v>161.452323538503</v>
      </c>
      <c r="E12" s="43" t="n">
        <f aca="false">(SUMPRODUCT(DCF!$E$7:$N$7/(1+$B12)^DCF!$E$8:$N$8)+Forecast!$N$7*(1+E$6)*Forecast!$N$8*(1-Forecast!$N$13)*(1-E$6/DCF!$B$17)/($B12-E$6)/(1+$B12)^DCF!$B$27+DCF!$B$55)/Assumptions!$B$10</f>
        <v>164.142013486692</v>
      </c>
      <c r="F12" s="43" t="n">
        <f aca="false">(SUMPRODUCT(DCF!$E$7:$N$7/(1+$B12)^DCF!$E$8:$N$8)+Forecast!$N$7*(1+F$6)*Forecast!$N$8*(1-Forecast!$N$13)*(1-F$6/DCF!$B$17)/($B12-F$6)/(1+$B12)^DCF!$B$27+DCF!$B$55)/Assumptions!$B$10</f>
        <v>167.121711617564</v>
      </c>
      <c r="G12" s="43" t="n">
        <f aca="false">(SUMPRODUCT(DCF!$E$7:$N$7/(1+$B12)^DCF!$E$8:$N$8)+Forecast!$N$7*(1+G$6)*Forecast!$N$8*(1-Forecast!$N$13)*(1-G$6/DCF!$B$17)/($B12-G$6)/(1+$B12)^DCF!$B$27+DCF!$B$55)/Assumptions!$B$10</f>
        <v>170.443496911353</v>
      </c>
    </row>
    <row r="13" customFormat="false" ht="15" hidden="false" customHeight="false" outlineLevel="0" collapsed="false">
      <c r="B13" s="63" t="n">
        <f aca="false">DCF!$B$14+(0.015)</f>
        <v>0.133529337953748</v>
      </c>
      <c r="C13" s="43" t="n">
        <f aca="false">(SUMPRODUCT(DCF!$E$7:$N$7/(1+$B13)^DCF!$E$8:$N$8)+Forecast!$N$7*(1+C$6)*Forecast!$N$8*(1-Forecast!$N$13)*(1-C$6/DCF!$B$17)/($B13-C$6)/(1+$B13)^DCF!$B$27+DCF!$B$55)/Assumptions!$B$10</f>
        <v>151.828377045012</v>
      </c>
      <c r="D13" s="43" t="n">
        <f aca="false">(SUMPRODUCT(DCF!$E$7:$N$7/(1+$B13)^DCF!$E$8:$N$8)+Forecast!$N$7*(1+D$6)*Forecast!$N$8*(1-Forecast!$N$13)*(1-D$6/DCF!$B$17)/($B13-D$6)/(1+$B13)^DCF!$B$27+DCF!$B$55)/Assumptions!$B$10</f>
        <v>153.920992180431</v>
      </c>
      <c r="E13" s="43" t="n">
        <f aca="false">(SUMPRODUCT(DCF!$E$7:$N$7/(1+$B13)^DCF!$E$8:$N$8)+Forecast!$N$7*(1+E$6)*Forecast!$N$8*(1-Forecast!$N$13)*(1-E$6/DCF!$B$17)/($B13-E$6)/(1+$B13)^DCF!$B$27+DCF!$B$55)/Assumptions!$B$10</f>
        <v>156.214056679681</v>
      </c>
      <c r="F13" s="43" t="n">
        <f aca="false">(SUMPRODUCT(DCF!$E$7:$N$7/(1+$B13)^DCF!$E$8:$N$8)+Forecast!$N$7*(1+F$6)*Forecast!$N$8*(1-Forecast!$N$13)*(1-F$6/DCF!$B$17)/($B13-F$6)/(1+$B13)^DCF!$B$27+DCF!$B$55)/Assumptions!$B$10</f>
        <v>158.739718107612</v>
      </c>
      <c r="G13" s="43" t="n">
        <f aca="false">(SUMPRODUCT(DCF!$E$7:$N$7/(1+$B13)^DCF!$E$8:$N$8)+Forecast!$N$7*(1+G$6)*Forecast!$N$8*(1-Forecast!$N$13)*(1-G$6/DCF!$B$17)/($B13-G$6)/(1+$B13)^DCF!$B$27+DCF!$B$55)/Assumptions!$B$10</f>
        <v>161.537386607924</v>
      </c>
    </row>
    <row r="16" customFormat="false" ht="15" hidden="false" customHeight="false" outlineLevel="0" collapsed="false">
      <c r="A16" s="3" t="s">
        <v>269</v>
      </c>
      <c r="B16" s="4"/>
      <c r="C16" s="4"/>
      <c r="D16" s="4"/>
      <c r="E16" s="4"/>
      <c r="F16" s="4"/>
      <c r="G16" s="4"/>
    </row>
    <row r="17" customFormat="false" ht="15" hidden="false" customHeight="false" outlineLevel="0" collapsed="false">
      <c r="A17" s="8" t="s">
        <v>270</v>
      </c>
      <c r="C17" s="64" t="n">
        <f aca="false">DCF!$B$18+(-4)</f>
        <v>10</v>
      </c>
      <c r="D17" s="64" t="n">
        <f aca="false">DCF!$B$18+(-2)</f>
        <v>12</v>
      </c>
      <c r="E17" s="64" t="n">
        <f aca="false">DCF!$B$18+(0)</f>
        <v>14</v>
      </c>
      <c r="F17" s="64" t="n">
        <f aca="false">DCF!$B$18+(2)</f>
        <v>16</v>
      </c>
      <c r="G17" s="64" t="n">
        <f aca="false">DCF!$B$18+(4)</f>
        <v>18</v>
      </c>
    </row>
    <row r="18" customFormat="false" ht="15" hidden="false" customHeight="false" outlineLevel="0" collapsed="false">
      <c r="B18" s="63" t="n">
        <f aca="false">DCF!$B$14+(-0.015)</f>
        <v>0.103529337953748</v>
      </c>
      <c r="C18" s="43" t="n">
        <f aca="false">(SUMPRODUCT(DCF!$E$7:$N$7/(1+$B18)^DCF!$E$8:$N$8)+DCF!$B$34*C$17/(1+$B18)^DCF!$B$37+DCF!$B$55)/Assumptions!$B$10</f>
        <v>211.189358060005</v>
      </c>
      <c r="D18" s="43" t="n">
        <f aca="false">(SUMPRODUCT(DCF!$E$7:$N$7/(1+$B18)^DCF!$E$8:$N$8)+DCF!$B$34*D$17/(1+$B18)^DCF!$B$37+DCF!$B$55)/Assumptions!$B$10</f>
        <v>233.08405744792</v>
      </c>
      <c r="E18" s="43" t="n">
        <f aca="false">(SUMPRODUCT(DCF!$E$7:$N$7/(1+$B18)^DCF!$E$8:$N$8)+DCF!$B$34*E$17/(1+$B18)^DCF!$B$37+DCF!$B$55)/Assumptions!$B$10</f>
        <v>254.978756835835</v>
      </c>
      <c r="F18" s="43" t="n">
        <f aca="false">(SUMPRODUCT(DCF!$E$7:$N$7/(1+$B18)^DCF!$E$8:$N$8)+DCF!$B$34*F$17/(1+$B18)^DCF!$B$37+DCF!$B$55)/Assumptions!$B$10</f>
        <v>276.87345622375</v>
      </c>
      <c r="G18" s="43" t="n">
        <f aca="false">(SUMPRODUCT(DCF!$E$7:$N$7/(1+$B18)^DCF!$E$8:$N$8)+DCF!$B$34*G$17/(1+$B18)^DCF!$B$37+DCF!$B$55)/Assumptions!$B$10</f>
        <v>298.768155611665</v>
      </c>
    </row>
    <row r="19" customFormat="false" ht="15" hidden="false" customHeight="false" outlineLevel="0" collapsed="false">
      <c r="B19" s="63" t="n">
        <f aca="false">DCF!$B$14+(-0.01)</f>
        <v>0.108529337953748</v>
      </c>
      <c r="C19" s="43" t="n">
        <f aca="false">(SUMPRODUCT(DCF!$E$7:$N$7/(1+$B19)^DCF!$E$8:$N$8)+DCF!$B$34*C$17/(1+$B19)^DCF!$B$37+DCF!$B$55)/Assumptions!$B$10</f>
        <v>204.70742011552</v>
      </c>
      <c r="D19" s="43" t="n">
        <f aca="false">(SUMPRODUCT(DCF!$E$7:$N$7/(1+$B19)^DCF!$E$8:$N$8)+DCF!$B$34*D$17/(1+$B19)^DCF!$B$37+DCF!$B$55)/Assumptions!$B$10</f>
        <v>225.700566497886</v>
      </c>
      <c r="E19" s="43" t="n">
        <f aca="false">(SUMPRODUCT(DCF!$E$7:$N$7/(1+$B19)^DCF!$E$8:$N$8)+DCF!$B$34*E$17/(1+$B19)^DCF!$B$37+DCF!$B$55)/Assumptions!$B$10</f>
        <v>246.693712880251</v>
      </c>
      <c r="F19" s="43" t="n">
        <f aca="false">(SUMPRODUCT(DCF!$E$7:$N$7/(1+$B19)^DCF!$E$8:$N$8)+DCF!$B$34*F$17/(1+$B19)^DCF!$B$37+DCF!$B$55)/Assumptions!$B$10</f>
        <v>267.686859262616</v>
      </c>
      <c r="G19" s="43" t="n">
        <f aca="false">(SUMPRODUCT(DCF!$E$7:$N$7/(1+$B19)^DCF!$E$8:$N$8)+DCF!$B$34*G$17/(1+$B19)^DCF!$B$37+DCF!$B$55)/Assumptions!$B$10</f>
        <v>288.680005644982</v>
      </c>
    </row>
    <row r="20" customFormat="false" ht="15" hidden="false" customHeight="false" outlineLevel="0" collapsed="false">
      <c r="B20" s="63" t="n">
        <f aca="false">DCF!$B$14+(-0.005)</f>
        <v>0.113529337953748</v>
      </c>
      <c r="C20" s="43" t="n">
        <f aca="false">(SUMPRODUCT(DCF!$E$7:$N$7/(1+$B20)^DCF!$E$8:$N$8)+DCF!$B$34*C$17/(1+$B20)^DCF!$B$37+DCF!$B$55)/Assumptions!$B$10</f>
        <v>198.491174312167</v>
      </c>
      <c r="D20" s="43" t="n">
        <f aca="false">(SUMPRODUCT(DCF!$E$7:$N$7/(1+$B20)^DCF!$E$8:$N$8)+DCF!$B$34*D$17/(1+$B20)^DCF!$B$37+DCF!$B$55)/Assumptions!$B$10</f>
        <v>218.623700108468</v>
      </c>
      <c r="E20" s="43" t="n">
        <f aca="false">(SUMPRODUCT(DCF!$E$7:$N$7/(1+$B20)^DCF!$E$8:$N$8)+DCF!$B$34*E$17/(1+$B20)^DCF!$B$37+DCF!$B$55)/Assumptions!$B$10</f>
        <v>238.756225904769</v>
      </c>
      <c r="F20" s="43" t="n">
        <f aca="false">(SUMPRODUCT(DCF!$E$7:$N$7/(1+$B20)^DCF!$E$8:$N$8)+DCF!$B$34*F$17/(1+$B20)^DCF!$B$37+DCF!$B$55)/Assumptions!$B$10</f>
        <v>258.888751701069</v>
      </c>
      <c r="G20" s="43" t="n">
        <f aca="false">(SUMPRODUCT(DCF!$E$7:$N$7/(1+$B20)^DCF!$E$8:$N$8)+DCF!$B$34*G$17/(1+$B20)^DCF!$B$37+DCF!$B$55)/Assumptions!$B$10</f>
        <v>279.02127749737</v>
      </c>
    </row>
    <row r="21" customFormat="false" ht="15" hidden="false" customHeight="false" outlineLevel="0" collapsed="false">
      <c r="B21" s="63" t="n">
        <f aca="false">DCF!$B$14+(0)</f>
        <v>0.118529337953748</v>
      </c>
      <c r="C21" s="43" t="n">
        <f aca="false">(SUMPRODUCT(DCF!$E$7:$N$7/(1+$B21)^DCF!$E$8:$N$8)+DCF!$B$34*C$17/(1+$B21)^DCF!$B$37+DCF!$B$55)/Assumptions!$B$10</f>
        <v>192.528144180111</v>
      </c>
      <c r="D21" s="43" t="n">
        <f aca="false">(SUMPRODUCT(DCF!$E$7:$N$7/(1+$B21)^DCF!$E$8:$N$8)+DCF!$B$34*D$17/(1+$B21)^DCF!$B$37+DCF!$B$55)/Assumptions!$B$10</f>
        <v>211.838951959608</v>
      </c>
      <c r="E21" s="43" t="n">
        <f aca="false">(SUMPRODUCT(DCF!$E$7:$N$7/(1+$B21)^DCF!$E$8:$N$8)+DCF!$B$34*E$17/(1+$B21)^DCF!$B$37+DCF!$B$55)/Assumptions!$B$10</f>
        <v>231.149759739104</v>
      </c>
      <c r="F21" s="43" t="n">
        <f aca="false">(SUMPRODUCT(DCF!$E$7:$N$7/(1+$B21)^DCF!$E$8:$N$8)+DCF!$B$34*F$17/(1+$B21)^DCF!$B$37+DCF!$B$55)/Assumptions!$B$10</f>
        <v>250.4605675186</v>
      </c>
      <c r="G21" s="43" t="n">
        <f aca="false">(SUMPRODUCT(DCF!$E$7:$N$7/(1+$B21)^DCF!$E$8:$N$8)+DCF!$B$34*G$17/(1+$B21)^DCF!$B$37+DCF!$B$55)/Assumptions!$B$10</f>
        <v>269.771375298097</v>
      </c>
    </row>
    <row r="22" customFormat="false" ht="15" hidden="false" customHeight="false" outlineLevel="0" collapsed="false">
      <c r="B22" s="63" t="n">
        <f aca="false">DCF!$B$14+(0.005)</f>
        <v>0.123529337953748</v>
      </c>
      <c r="C22" s="43" t="n">
        <f aca="false">(SUMPRODUCT(DCF!$E$7:$N$7/(1+$B22)^DCF!$E$8:$N$8)+DCF!$B$34*C$17/(1+$B22)^DCF!$B$37+DCF!$B$55)/Assumptions!$B$10</f>
        <v>186.806501422289</v>
      </c>
      <c r="D22" s="43" t="n">
        <f aca="false">(SUMPRODUCT(DCF!$E$7:$N$7/(1+$B22)^DCF!$E$8:$N$8)+DCF!$B$34*D$17/(1+$B22)^DCF!$B$37+DCF!$B$55)/Assumptions!$B$10</f>
        <v>205.3325729917</v>
      </c>
      <c r="E22" s="43" t="n">
        <f aca="false">(SUMPRODUCT(DCF!$E$7:$N$7/(1+$B22)^DCF!$E$8:$N$8)+DCF!$B$34*E$17/(1+$B22)^DCF!$B$37+DCF!$B$55)/Assumptions!$B$10</f>
        <v>223.858644561112</v>
      </c>
      <c r="F22" s="43" t="n">
        <f aca="false">(SUMPRODUCT(DCF!$E$7:$N$7/(1+$B22)^DCF!$E$8:$N$8)+DCF!$B$34*F$17/(1+$B22)^DCF!$B$37+DCF!$B$55)/Assumptions!$B$10</f>
        <v>242.384716130523</v>
      </c>
      <c r="G22" s="43" t="n">
        <f aca="false">(SUMPRODUCT(DCF!$E$7:$N$7/(1+$B22)^DCF!$E$8:$N$8)+DCF!$B$34*G$17/(1+$B22)^DCF!$B$37+DCF!$B$55)/Assumptions!$B$10</f>
        <v>260.910787699934</v>
      </c>
    </row>
    <row r="23" customFormat="false" ht="15" hidden="false" customHeight="false" outlineLevel="0" collapsed="false">
      <c r="B23" s="63" t="n">
        <f aca="false">DCF!$B$14+(0.01)</f>
        <v>0.128529337953748</v>
      </c>
      <c r="C23" s="43" t="n">
        <f aca="false">(SUMPRODUCT(DCF!$E$7:$N$7/(1+$B23)^DCF!$E$8:$N$8)+DCF!$B$34*C$17/(1+$B23)^DCF!$B$37+DCF!$B$55)/Assumptions!$B$10</f>
        <v>181.315029269106</v>
      </c>
      <c r="D23" s="43" t="n">
        <f aca="false">(SUMPRODUCT(DCF!$E$7:$N$7/(1+$B23)^DCF!$E$8:$N$8)+DCF!$B$34*D$17/(1+$B23)^DCF!$B$37+DCF!$B$55)/Assumptions!$B$10</f>
        <v>199.09152844881</v>
      </c>
      <c r="E23" s="43" t="n">
        <f aca="false">(SUMPRODUCT(DCF!$E$7:$N$7/(1+$B23)^DCF!$E$8:$N$8)+DCF!$B$34*E$17/(1+$B23)^DCF!$B$37+DCF!$B$55)/Assumptions!$B$10</f>
        <v>216.868027628513</v>
      </c>
      <c r="F23" s="43" t="n">
        <f aca="false">(SUMPRODUCT(DCF!$E$7:$N$7/(1+$B23)^DCF!$E$8:$N$8)+DCF!$B$34*F$17/(1+$B23)^DCF!$B$37+DCF!$B$55)/Assumptions!$B$10</f>
        <v>234.644526808216</v>
      </c>
      <c r="G23" s="43" t="n">
        <f aca="false">(SUMPRODUCT(DCF!$E$7:$N$7/(1+$B23)^DCF!$E$8:$N$8)+DCF!$B$34*G$17/(1+$B23)^DCF!$B$37+DCF!$B$55)/Assumptions!$B$10</f>
        <v>252.42102598792</v>
      </c>
    </row>
    <row r="24" customFormat="false" ht="15" hidden="false" customHeight="false" outlineLevel="0" collapsed="false">
      <c r="B24" s="63" t="n">
        <f aca="false">DCF!$B$14+(0.015)</f>
        <v>0.133529337953748</v>
      </c>
      <c r="C24" s="43" t="n">
        <f aca="false">(SUMPRODUCT(DCF!$E$7:$N$7/(1+$B24)^DCF!$E$8:$N$8)+DCF!$B$34*C$17/(1+$B24)^DCF!$B$37+DCF!$B$55)/Assumptions!$B$10</f>
        <v>176.043088065076</v>
      </c>
      <c r="D24" s="43" t="n">
        <f aca="false">(SUMPRODUCT(DCF!$E$7:$N$7/(1+$B24)^DCF!$E$8:$N$8)+DCF!$B$34*D$17/(1+$B24)^DCF!$B$37+DCF!$B$55)/Assumptions!$B$10</f>
        <v>193.103457544733</v>
      </c>
      <c r="E24" s="43" t="n">
        <f aca="false">(SUMPRODUCT(DCF!$E$7:$N$7/(1+$B24)^DCF!$E$8:$N$8)+DCF!$B$34*E$17/(1+$B24)^DCF!$B$37+DCF!$B$55)/Assumptions!$B$10</f>
        <v>210.163827024391</v>
      </c>
      <c r="F24" s="43" t="n">
        <f aca="false">(SUMPRODUCT(DCF!$E$7:$N$7/(1+$B24)^DCF!$E$8:$N$8)+DCF!$B$34*F$17/(1+$B24)^DCF!$B$37+DCF!$B$55)/Assumptions!$B$10</f>
        <v>227.224196504048</v>
      </c>
      <c r="G24" s="43" t="n">
        <f aca="false">(SUMPRODUCT(DCF!$E$7:$N$7/(1+$B24)^DCF!$E$8:$N$8)+DCF!$B$34*G$17/(1+$B24)^DCF!$B$37+DCF!$B$55)/Assumptions!$B$10</f>
        <v>244.284565983706</v>
      </c>
    </row>
    <row r="27" customFormat="false" ht="15" hidden="false" customHeight="false" outlineLevel="0" collapsed="false">
      <c r="A27" s="3" t="s">
        <v>271</v>
      </c>
      <c r="B27" s="4"/>
      <c r="C27" s="4"/>
      <c r="D27" s="4"/>
      <c r="E27" s="4"/>
      <c r="F27" s="4"/>
      <c r="G27" s="4"/>
    </row>
    <row r="28" customFormat="false" ht="15" hidden="false" customHeight="false" outlineLevel="0" collapsed="false">
      <c r="A28" s="8" t="s">
        <v>272</v>
      </c>
      <c r="C28" s="65" t="n">
        <v>0.04</v>
      </c>
      <c r="D28" s="65" t="n">
        <v>0.045</v>
      </c>
      <c r="E28" s="65" t="n">
        <v>0.05</v>
      </c>
      <c r="F28" s="65" t="n">
        <v>0.055</v>
      </c>
    </row>
    <row r="29" customFormat="false" ht="15" hidden="false" customHeight="false" outlineLevel="0" collapsed="false">
      <c r="B29" s="66" t="n">
        <v>1.2</v>
      </c>
      <c r="C29" s="52" t="n">
        <f aca="false">WACC!$B$17*(WACC!$B$4+$B29*C$28)+WACC!$B$18*WACC!$B$12</f>
        <v>0.0946741570449023</v>
      </c>
      <c r="D29" s="52" t="n">
        <f aca="false">WACC!$B$17*(WACC!$B$4+$B29*D$28)+WACC!$B$18*WACC!$B$12</f>
        <v>0.100637952272114</v>
      </c>
      <c r="E29" s="52" t="n">
        <f aca="false">WACC!$B$17*(WACC!$B$4+$B29*E$28)+WACC!$B$18*WACC!$B$12</f>
        <v>0.106601747499325</v>
      </c>
      <c r="F29" s="52" t="n">
        <f aca="false">WACC!$B$17*(WACC!$B$4+$B29*F$28)+WACC!$B$18*WACC!$B$12</f>
        <v>0.112565542726536</v>
      </c>
    </row>
    <row r="30" customFormat="false" ht="15" hidden="false" customHeight="false" outlineLevel="0" collapsed="false">
      <c r="B30" s="66" t="n">
        <v>1.4</v>
      </c>
      <c r="C30" s="52" t="n">
        <f aca="false">WACC!$B$17*(WACC!$B$4+$B30*C$28)+WACC!$B$18*WACC!$B$12</f>
        <v>0.102625884014518</v>
      </c>
      <c r="D30" s="52" t="n">
        <f aca="false">WACC!$B$17*(WACC!$B$4+$B30*D$28)+WACC!$B$18*WACC!$B$12</f>
        <v>0.109583645112931</v>
      </c>
      <c r="E30" s="52" t="n">
        <f aca="false">WACC!$B$17*(WACC!$B$4+$B30*E$28)+WACC!$B$18*WACC!$B$12</f>
        <v>0.116541406211344</v>
      </c>
      <c r="F30" s="52" t="n">
        <f aca="false">WACC!$B$17*(WACC!$B$4+$B30*F$28)+WACC!$B$18*WACC!$B$12</f>
        <v>0.123499167309757</v>
      </c>
    </row>
    <row r="31" customFormat="false" ht="15" hidden="false" customHeight="false" outlineLevel="0" collapsed="false">
      <c r="B31" s="66" t="n">
        <v>1.6</v>
      </c>
      <c r="C31" s="52" t="n">
        <f aca="false">WACC!$B$17*(WACC!$B$4+$B31*C$28)+WACC!$B$18*WACC!$B$12</f>
        <v>0.110577610984133</v>
      </c>
      <c r="D31" s="52" t="n">
        <f aca="false">WACC!$B$17*(WACC!$B$4+$B31*D$28)+WACC!$B$18*WACC!$B$12</f>
        <v>0.118529337953748</v>
      </c>
      <c r="E31" s="52" t="n">
        <f aca="false">WACC!$B$17*(WACC!$B$4+$B31*E$28)+WACC!$B$18*WACC!$B$12</f>
        <v>0.126481064923363</v>
      </c>
      <c r="F31" s="52" t="n">
        <f aca="false">WACC!$B$17*(WACC!$B$4+$B31*F$28)+WACC!$B$18*WACC!$B$12</f>
        <v>0.134432791892978</v>
      </c>
    </row>
    <row r="32" customFormat="false" ht="15" hidden="false" customHeight="false" outlineLevel="0" collapsed="false">
      <c r="B32" s="66" t="n">
        <v>1.8</v>
      </c>
      <c r="C32" s="52" t="n">
        <f aca="false">WACC!$B$17*(WACC!$B$4+$B32*C$28)+WACC!$B$18*WACC!$B$12</f>
        <v>0.118529337953748</v>
      </c>
      <c r="D32" s="52" t="n">
        <f aca="false">WACC!$B$17*(WACC!$B$4+$B32*D$28)+WACC!$B$18*WACC!$B$12</f>
        <v>0.127475030794565</v>
      </c>
      <c r="E32" s="52" t="n">
        <f aca="false">WACC!$B$17*(WACC!$B$4+$B32*E$28)+WACC!$B$18*WACC!$B$12</f>
        <v>0.136420723635382</v>
      </c>
      <c r="F32" s="52" t="n">
        <f aca="false">WACC!$B$17*(WACC!$B$4+$B32*F$28)+WACC!$B$18*WACC!$B$12</f>
        <v>0.145366416476199</v>
      </c>
    </row>
    <row r="33" customFormat="false" ht="15" hidden="false" customHeight="false" outlineLevel="0" collapsed="false">
      <c r="B33" s="66" t="n">
        <v>2</v>
      </c>
      <c r="C33" s="52" t="n">
        <f aca="false">WACC!$B$17*(WACC!$B$4+$B33*C$28)+WACC!$B$18*WACC!$B$12</f>
        <v>0.126481064923363</v>
      </c>
      <c r="D33" s="52" t="n">
        <f aca="false">WACC!$B$17*(WACC!$B$4+$B33*D$28)+WACC!$B$18*WACC!$B$12</f>
        <v>0.136420723635382</v>
      </c>
      <c r="E33" s="52" t="n">
        <f aca="false">WACC!$B$17*(WACC!$B$4+$B33*E$28)+WACC!$B$18*WACC!$B$12</f>
        <v>0.146360382347401</v>
      </c>
      <c r="F33" s="52" t="n">
        <f aca="false">WACC!$B$17*(WACC!$B$4+$B33*F$28)+WACC!$B$18*WACC!$B$12</f>
        <v>0.15630004105942</v>
      </c>
    </row>
    <row r="34" customFormat="false" ht="15" hidden="false" customHeight="false" outlineLevel="0" collapsed="false">
      <c r="B34" s="66" t="n">
        <v>2.22</v>
      </c>
      <c r="C34" s="52" t="n">
        <f aca="false">WACC!$B$17*(WACC!$B$4+$B34*C$28)+WACC!$B$18*WACC!$B$12</f>
        <v>0.13522796458994</v>
      </c>
      <c r="D34" s="52" t="n">
        <f aca="false">WACC!$B$17*(WACC!$B$4+$B34*D$28)+WACC!$B$18*WACC!$B$12</f>
        <v>0.146260985760281</v>
      </c>
      <c r="E34" s="52" t="n">
        <f aca="false">WACC!$B$17*(WACC!$B$4+$B34*E$28)+WACC!$B$18*WACC!$B$12</f>
        <v>0.157294006930622</v>
      </c>
      <c r="F34" s="52" t="n">
        <f aca="false">WACC!$B$17*(WACC!$B$4+$B34*F$28)+WACC!$B$18*WACC!$B$12</f>
        <v>0.168327028100963</v>
      </c>
    </row>
  </sheetData>
  <conditionalFormatting sqref="C7:G13">
    <cfRule type="cellIs" priority="2" operator="greaterThanOrEqual" aboveAverage="0" equalAverage="0" bottom="0" percent="0" rank="0" text="" dxfId="0">
      <formula>$B$3</formula>
    </cfRule>
    <cfRule type="cellIs" priority="3" operator="lessThan" aboveAverage="0" equalAverage="0" bottom="0" percent="0" rank="0" text="" dxfId="1">
      <formula>$B$3</formula>
    </cfRule>
  </conditionalFormatting>
  <conditionalFormatting sqref="C18:G24">
    <cfRule type="cellIs" priority="4" operator="greaterThanOrEqual" aboveAverage="0" equalAverage="0" bottom="0" percent="0" rank="0" text="" dxfId="0">
      <formula>$B$3</formula>
    </cfRule>
    <cfRule type="cellIs" priority="5" operator="lessThan" aboveAverage="0" equalAverage="0" bottom="0" percent="0" rank="0" text="" dxfId="1">
      <formula>$B$3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2" style="0" width="14"/>
  </cols>
  <sheetData>
    <row r="1" customFormat="false" ht="17.35" hidden="false" customHeight="false" outlineLevel="0" collapsed="false">
      <c r="A1" s="1" t="s">
        <v>273</v>
      </c>
    </row>
    <row r="2" customFormat="false" ht="15" hidden="false" customHeight="false" outlineLevel="0" collapsed="false">
      <c r="A2" s="2" t="s">
        <v>274</v>
      </c>
    </row>
    <row r="4" customFormat="false" ht="27.75" hidden="false" customHeight="true" outlineLevel="0" collapsed="false">
      <c r="A4" s="3" t="s">
        <v>275</v>
      </c>
      <c r="B4" s="67" t="s">
        <v>276</v>
      </c>
      <c r="C4" s="67" t="s">
        <v>277</v>
      </c>
      <c r="D4" s="67" t="s">
        <v>278</v>
      </c>
      <c r="E4" s="67" t="s">
        <v>279</v>
      </c>
      <c r="F4" s="67" t="s">
        <v>16</v>
      </c>
    </row>
    <row r="5" customFormat="false" ht="15" hidden="false" customHeight="false" outlineLevel="0" collapsed="false">
      <c r="A5" s="8" t="s">
        <v>18</v>
      </c>
      <c r="B5" s="43" t="n">
        <f aca="false">B28</f>
        <v>68.7784356455061</v>
      </c>
      <c r="C5" s="43" t="n">
        <f aca="false">B31</f>
        <v>74.8281098019279</v>
      </c>
      <c r="D5" s="68" t="n">
        <f aca="false">B32</f>
        <v>71.803272723717</v>
      </c>
      <c r="E5" s="14" t="n">
        <f aca="false">D5/Assumptions!$B$9-1</f>
        <v>-0.682735627767246</v>
      </c>
      <c r="F5" s="15" t="n">
        <f aca="false">Assumptions!B19</f>
        <v>0.25</v>
      </c>
    </row>
    <row r="6" customFormat="false" ht="15" hidden="false" customHeight="false" outlineLevel="0" collapsed="false">
      <c r="A6" s="8" t="s">
        <v>19</v>
      </c>
      <c r="B6" s="43" t="n">
        <f aca="false">B50</f>
        <v>182.811515255286</v>
      </c>
      <c r="C6" s="43" t="n">
        <f aca="false">B53</f>
        <v>231.149759739104</v>
      </c>
      <c r="D6" s="68" t="n">
        <f aca="false">B54</f>
        <v>206.980637497195</v>
      </c>
      <c r="E6" s="14" t="n">
        <f aca="false">D6/Assumptions!$B$9-1</f>
        <v>-0.0854514073117925</v>
      </c>
      <c r="F6" s="15" t="n">
        <f aca="false">Assumptions!B20</f>
        <v>0.5</v>
      </c>
    </row>
    <row r="7" customFormat="false" ht="15" hidden="false" customHeight="false" outlineLevel="0" collapsed="false">
      <c r="A7" s="8" t="s">
        <v>20</v>
      </c>
      <c r="B7" s="43" t="n">
        <f aca="false">B72</f>
        <v>264.297736761487</v>
      </c>
      <c r="C7" s="43" t="n">
        <f aca="false">B75</f>
        <v>378.465383308001</v>
      </c>
      <c r="D7" s="68" t="n">
        <f aca="false">B76</f>
        <v>321.381560034744</v>
      </c>
      <c r="E7" s="14" t="n">
        <f aca="false">D7/Assumptions!$B$9-1</f>
        <v>0.420031636774232</v>
      </c>
      <c r="F7" s="15" t="n">
        <f aca="false">Assumptions!B21</f>
        <v>0.25</v>
      </c>
    </row>
    <row r="8" customFormat="false" ht="15" hidden="false" customHeight="false" outlineLevel="0" collapsed="false">
      <c r="A8" s="8" t="s">
        <v>280</v>
      </c>
      <c r="D8" s="62" t="n">
        <f aca="false">SUMPRODUCT(D5:D7,F5:F7)</f>
        <v>201.786526938213</v>
      </c>
      <c r="E8" s="69" t="n">
        <f aca="false">D8/Assumptions!$B$9-1</f>
        <v>-0.10840170140415</v>
      </c>
      <c r="F8" s="70" t="n">
        <f aca="false">SUM(F5:F7)</f>
        <v>1</v>
      </c>
    </row>
    <row r="9" customFormat="false" ht="15" hidden="false" customHeight="false" outlineLevel="0" collapsed="false">
      <c r="A9" s="5" t="s">
        <v>260</v>
      </c>
      <c r="D9" s="13" t="n">
        <f aca="false">Assumptions!B9</f>
        <v>226.32</v>
      </c>
    </row>
    <row r="14" customFormat="false" ht="15" hidden="false" customHeight="false" outlineLevel="0" collapsed="false">
      <c r="A14" s="3" t="s">
        <v>281</v>
      </c>
      <c r="B14" s="4"/>
      <c r="C14" s="4"/>
      <c r="D14" s="4"/>
      <c r="E14" s="12" t="str">
        <f aca="false">Forecast!E4</f>
        <v>FY2027E</v>
      </c>
      <c r="F14" s="12" t="str">
        <f aca="false">Forecast!F4</f>
        <v>FY2028E</v>
      </c>
      <c r="G14" s="12" t="str">
        <f aca="false">Forecast!G4</f>
        <v>FY2029E</v>
      </c>
      <c r="H14" s="12" t="str">
        <f aca="false">Forecast!H4</f>
        <v>FY2030E</v>
      </c>
      <c r="I14" s="12" t="str">
        <f aca="false">Forecast!I4</f>
        <v>FY2031E</v>
      </c>
      <c r="J14" s="12" t="str">
        <f aca="false">Forecast!J4</f>
        <v>FY2032E</v>
      </c>
      <c r="K14" s="12" t="str">
        <f aca="false">Forecast!K4</f>
        <v>FY2033E</v>
      </c>
      <c r="L14" s="12" t="str">
        <f aca="false">Forecast!L4</f>
        <v>FY2034E</v>
      </c>
      <c r="M14" s="12" t="str">
        <f aca="false">Forecast!M4</f>
        <v>FY2035E</v>
      </c>
      <c r="N14" s="12" t="str">
        <f aca="false">Forecast!N4</f>
        <v>FY2036E</v>
      </c>
    </row>
    <row r="15" customFormat="false" ht="15" hidden="false" customHeight="false" outlineLevel="0" collapsed="false">
      <c r="A15" s="5" t="s">
        <v>117</v>
      </c>
      <c r="E15" s="49" t="n">
        <f aca="false">Forecast!$D$7*(1+Assumptions!E28)</f>
        <v>388688.4</v>
      </c>
      <c r="F15" s="41" t="n">
        <f aca="false">E15*(1+Assumptions!F28)</f>
        <v>446991.66</v>
      </c>
      <c r="G15" s="41" t="n">
        <f aca="false">F15*(1+Assumptions!G28)</f>
        <v>469341.243</v>
      </c>
      <c r="H15" s="41" t="n">
        <f aca="false">G15*(1+Assumptions!H28)</f>
        <v>478728.06786</v>
      </c>
      <c r="I15" s="41" t="n">
        <f aca="false">H15*(1+Assumptions!I28)</f>
        <v>493089.9098958</v>
      </c>
      <c r="J15" s="41" t="n">
        <f aca="false">I15*(1+Assumptions!J28)</f>
        <v>512813.506291632</v>
      </c>
      <c r="K15" s="41" t="n">
        <f aca="false">J15*(1+Assumptions!K28)</f>
        <v>533326.046543297</v>
      </c>
      <c r="L15" s="41" t="n">
        <f aca="false">K15*(1+Assumptions!L28)</f>
        <v>554659.088405029</v>
      </c>
      <c r="M15" s="41" t="n">
        <f aca="false">L15*(1+Assumptions!M28)</f>
        <v>574072.156499205</v>
      </c>
      <c r="N15" s="41" t="n">
        <f aca="false">M15*(1+Assumptions!N28)</f>
        <v>591294.321194182</v>
      </c>
    </row>
    <row r="16" customFormat="false" ht="15" hidden="false" customHeight="false" outlineLevel="0" collapsed="false">
      <c r="A16" s="5" t="s">
        <v>282</v>
      </c>
      <c r="E16" s="49" t="n">
        <f aca="false">E15*Assumptions!E35</f>
        <v>248760.576</v>
      </c>
      <c r="F16" s="49" t="n">
        <f aca="false">F15*Assumptions!F35</f>
        <v>259255.1628</v>
      </c>
      <c r="G16" s="49" t="n">
        <f aca="false">G15*Assumptions!G35</f>
        <v>244057.44636</v>
      </c>
      <c r="H16" s="49" t="n">
        <f aca="false">H15*Assumptions!H35</f>
        <v>220214.9112156</v>
      </c>
      <c r="I16" s="49" t="n">
        <f aca="false">I15*Assumptions!I35</f>
        <v>207097.762156236</v>
      </c>
      <c r="J16" s="49" t="n">
        <f aca="false">J15*Assumptions!J35</f>
        <v>199997.267453736</v>
      </c>
      <c r="K16" s="49" t="n">
        <f aca="false">K15*Assumptions!K35</f>
        <v>197330.63722102</v>
      </c>
      <c r="L16" s="49" t="n">
        <f aca="false">L15*Assumptions!L35</f>
        <v>194130.68094176</v>
      </c>
      <c r="M16" s="49" t="n">
        <f aca="false">M15*Assumptions!M35</f>
        <v>195184.53320973</v>
      </c>
      <c r="N16" s="49" t="n">
        <f aca="false">N15*Assumptions!N35</f>
        <v>195127.12599408</v>
      </c>
    </row>
    <row r="17" customFormat="false" ht="15" hidden="false" customHeight="false" outlineLevel="0" collapsed="false">
      <c r="A17" s="5" t="s">
        <v>187</v>
      </c>
      <c r="E17" s="49" t="n">
        <f aca="false">E16+E15*Assumptions!E$43</f>
        <v>253424.8368</v>
      </c>
      <c r="F17" s="49" t="n">
        <f aca="false">F16+F15*Assumptions!F$43</f>
        <v>264619.06272</v>
      </c>
      <c r="G17" s="49" t="n">
        <f aca="false">G16+G15*Assumptions!G$43</f>
        <v>250158.882519</v>
      </c>
      <c r="H17" s="49" t="n">
        <f aca="false">H16+H15*Assumptions!H$43</f>
        <v>226917.10416564</v>
      </c>
      <c r="I17" s="49" t="n">
        <f aca="false">I16+I15*Assumptions!I$43</f>
        <v>214494.110804673</v>
      </c>
      <c r="J17" s="49" t="n">
        <f aca="false">J16+J15*Assumptions!J$43</f>
        <v>208202.283554403</v>
      </c>
      <c r="K17" s="49" t="n">
        <f aca="false">K16+K15*Assumptions!K$43</f>
        <v>206397.180012256</v>
      </c>
      <c r="L17" s="49" t="n">
        <f aca="false">L16+L15*Assumptions!L$43</f>
        <v>204114.544533051</v>
      </c>
      <c r="M17" s="49" t="n">
        <f aca="false">M16+M15*Assumptions!M$43</f>
        <v>206091.904183215</v>
      </c>
      <c r="N17" s="49" t="n">
        <f aca="false">N16+N15*Assumptions!N$43</f>
        <v>206953.012417964</v>
      </c>
    </row>
    <row r="18" customFormat="false" ht="15" hidden="false" customHeight="false" outlineLevel="0" collapsed="false">
      <c r="A18" s="5" t="s">
        <v>190</v>
      </c>
      <c r="E18" s="49" t="n">
        <f aca="false">E16*(1-Assumptions!E$42)</f>
        <v>206471.27808</v>
      </c>
      <c r="F18" s="49" t="n">
        <f aca="false">F16*(1-Assumptions!F$42)</f>
        <v>212589.233496</v>
      </c>
      <c r="G18" s="49" t="n">
        <f aca="false">G16*(1-Assumptions!G$42)</f>
        <v>200127.1060152</v>
      </c>
      <c r="H18" s="49" t="n">
        <f aca="false">H16*(1-Assumptions!H$42)</f>
        <v>180576.227196792</v>
      </c>
      <c r="I18" s="49" t="n">
        <f aca="false">I16*(1-Assumptions!I$42)</f>
        <v>169820.164968114</v>
      </c>
      <c r="J18" s="49" t="n">
        <f aca="false">J16*(1-Assumptions!J$42)</f>
        <v>161997.786637527</v>
      </c>
      <c r="K18" s="49" t="n">
        <f aca="false">K16*(1-Assumptions!K$42)</f>
        <v>159837.816149026</v>
      </c>
      <c r="L18" s="49" t="n">
        <f aca="false">L16*(1-Assumptions!L$42)</f>
        <v>157245.851562826</v>
      </c>
      <c r="M18" s="49" t="n">
        <f aca="false">M16*(1-Assumptions!M$42)</f>
        <v>158099.471899881</v>
      </c>
      <c r="N18" s="49" t="n">
        <f aca="false">N16*(1-Assumptions!N$42)</f>
        <v>158052.972055205</v>
      </c>
    </row>
    <row r="19" customFormat="false" ht="15" hidden="false" customHeight="false" outlineLevel="0" collapsed="false">
      <c r="A19" s="5" t="s">
        <v>283</v>
      </c>
      <c r="E19" s="49" t="n">
        <f aca="false">E15*(Assumptions!E$44-Assumptions!E$43)</f>
        <v>5052.9492</v>
      </c>
      <c r="F19" s="49" t="n">
        <f aca="false">F15*(Assumptions!F$44-Assumptions!F$43)</f>
        <v>6257.88324</v>
      </c>
      <c r="G19" s="49" t="n">
        <f aca="false">G15*(Assumptions!G$44-Assumptions!G$43)</f>
        <v>6101.436159</v>
      </c>
      <c r="H19" s="49" t="n">
        <f aca="false">H15*(Assumptions!H$44-Assumptions!H$43)</f>
        <v>5744.73681432</v>
      </c>
      <c r="I19" s="49" t="n">
        <f aca="false">I15*(Assumptions!I$44-Assumptions!I$43)</f>
        <v>5423.9890088538</v>
      </c>
      <c r="J19" s="49" t="n">
        <f aca="false">J15*(Assumptions!J$44-Assumptions!J$43)</f>
        <v>4615.32155662469</v>
      </c>
      <c r="K19" s="49" t="n">
        <f aca="false">K15*(Assumptions!K$44-Assumptions!K$43)</f>
        <v>4266.60837234638</v>
      </c>
      <c r="L19" s="49" t="n">
        <f aca="false">L15*(Assumptions!L$44-Assumptions!L$43)</f>
        <v>3327.95453043018</v>
      </c>
      <c r="M19" s="49" t="n">
        <f aca="false">M15*(Assumptions!M$44-Assumptions!M$43)</f>
        <v>2870.36078249603</v>
      </c>
      <c r="N19" s="49" t="n">
        <f aca="false">N15*(Assumptions!N$44-Assumptions!N$43)</f>
        <v>2365.17728477673</v>
      </c>
    </row>
    <row r="20" customFormat="false" ht="15" hidden="false" customHeight="false" outlineLevel="0" collapsed="false">
      <c r="A20" s="5" t="s">
        <v>193</v>
      </c>
      <c r="E20" s="49" t="n">
        <f aca="false">E15*Assumptions!$B$22</f>
        <v>56962.684316152</v>
      </c>
      <c r="F20" s="49" t="n">
        <f aca="false">F15*Assumptions!$B$22</f>
        <v>65507.0869635748</v>
      </c>
      <c r="G20" s="49" t="n">
        <f aca="false">G15*Assumptions!$B$22</f>
        <v>68782.4413117536</v>
      </c>
      <c r="H20" s="49" t="n">
        <f aca="false">H15*Assumptions!$B$22</f>
        <v>70158.0901379887</v>
      </c>
      <c r="I20" s="49" t="n">
        <f aca="false">I15*Assumptions!$B$22</f>
        <v>72262.8328421283</v>
      </c>
      <c r="J20" s="49" t="n">
        <f aca="false">J15*Assumptions!$B$22</f>
        <v>75153.3461558134</v>
      </c>
      <c r="K20" s="49" t="n">
        <f aca="false">K15*Assumptions!$B$22</f>
        <v>78159.480002046</v>
      </c>
      <c r="L20" s="49" t="n">
        <f aca="false">L15*Assumptions!$B$22</f>
        <v>81285.8592021278</v>
      </c>
      <c r="M20" s="49" t="n">
        <f aca="false">M15*Assumptions!$B$22</f>
        <v>84130.8642742023</v>
      </c>
      <c r="N20" s="49" t="n">
        <f aca="false">N15*Assumptions!$B$22</f>
        <v>86654.7902024284</v>
      </c>
    </row>
    <row r="21" customFormat="false" ht="15" hidden="false" customHeight="false" outlineLevel="0" collapsed="false">
      <c r="A21" s="5" t="s">
        <v>194</v>
      </c>
      <c r="E21" s="49" t="n">
        <f aca="false">E20-Forecast!$D$19</f>
        <v>25077.684316152</v>
      </c>
      <c r="F21" s="41" t="n">
        <f aca="false">F20-E20</f>
        <v>8544.40264742279</v>
      </c>
      <c r="G21" s="41" t="n">
        <f aca="false">G20-F20</f>
        <v>3275.35434817876</v>
      </c>
      <c r="H21" s="41" t="n">
        <f aca="false">H20-G20</f>
        <v>1375.64882623506</v>
      </c>
      <c r="I21" s="41" t="n">
        <f aca="false">I20-H20</f>
        <v>2104.74270413966</v>
      </c>
      <c r="J21" s="41" t="n">
        <f aca="false">J20-I20</f>
        <v>2890.51331368514</v>
      </c>
      <c r="K21" s="41" t="n">
        <f aca="false">K20-J20</f>
        <v>3006.13384623255</v>
      </c>
      <c r="L21" s="41" t="n">
        <f aca="false">L20-K20</f>
        <v>3126.37920008184</v>
      </c>
      <c r="M21" s="41" t="n">
        <f aca="false">M20-L20</f>
        <v>2845.00507207448</v>
      </c>
      <c r="N21" s="41" t="n">
        <f aca="false">N20-M20</f>
        <v>2523.92592822608</v>
      </c>
    </row>
    <row r="22" customFormat="false" ht="15" hidden="false" customHeight="false" outlineLevel="0" collapsed="false">
      <c r="A22" s="8" t="s">
        <v>195</v>
      </c>
      <c r="E22" s="42" t="n">
        <f aca="false">E18-E19-E21</f>
        <v>176340.644563848</v>
      </c>
      <c r="F22" s="42" t="n">
        <f aca="false">F18-F19-F21</f>
        <v>197786.947608577</v>
      </c>
      <c r="G22" s="42" t="n">
        <f aca="false">G18-G19-G21</f>
        <v>190750.315508021</v>
      </c>
      <c r="H22" s="42" t="n">
        <f aca="false">H18-H19-H21</f>
        <v>173455.841556237</v>
      </c>
      <c r="I22" s="42" t="n">
        <f aca="false">I18-I19-I21</f>
        <v>162291.43325512</v>
      </c>
      <c r="J22" s="42" t="n">
        <f aca="false">J18-J19-J21</f>
        <v>154491.951767217</v>
      </c>
      <c r="K22" s="42" t="n">
        <f aca="false">K18-K19-K21</f>
        <v>152565.073930447</v>
      </c>
      <c r="L22" s="42" t="n">
        <f aca="false">L18-L19-L21</f>
        <v>150791.517832314</v>
      </c>
      <c r="M22" s="42" t="n">
        <f aca="false">M18-M19-M21</f>
        <v>152384.106045311</v>
      </c>
      <c r="N22" s="42" t="n">
        <f aca="false">N18-N19-N21</f>
        <v>153163.868842202</v>
      </c>
    </row>
    <row r="23" customFormat="false" ht="15" hidden="false" customHeight="false" outlineLevel="0" collapsed="false">
      <c r="A23" s="5" t="s">
        <v>284</v>
      </c>
      <c r="E23" s="49" t="n">
        <f aca="false">E22*DCF!E$6*DCF!E$9</f>
        <v>52254.2739181655</v>
      </c>
      <c r="F23" s="49" t="n">
        <f aca="false">F22*DCF!F$6*DCF!F$9</f>
        <v>180806.102342514</v>
      </c>
      <c r="G23" s="49" t="n">
        <f aca="false">G22*DCF!G$6*DCF!G$9</f>
        <v>155895.414564984</v>
      </c>
      <c r="H23" s="49" t="n">
        <f aca="false">H22*DCF!H$6*DCF!H$9</f>
        <v>126738.810550213</v>
      </c>
      <c r="I23" s="49" t="n">
        <f aca="false">I22*DCF!I$6*DCF!I$9</f>
        <v>106015.389318471</v>
      </c>
      <c r="J23" s="49" t="n">
        <f aca="false">J22*DCF!J$6*DCF!J$9</f>
        <v>90226.0192853816</v>
      </c>
      <c r="K23" s="49" t="n">
        <f aca="false">K22*DCF!K$6*DCF!K$9</f>
        <v>79658.7855922796</v>
      </c>
      <c r="L23" s="49" t="n">
        <f aca="false">L22*DCF!L$6*DCF!L$9</f>
        <v>70389.5340663399</v>
      </c>
      <c r="M23" s="49" t="n">
        <f aca="false">M22*DCF!M$6*DCF!M$9</f>
        <v>63595.0729193977</v>
      </c>
      <c r="N23" s="49" t="n">
        <f aca="false">N22*DCF!N$6*DCF!N$9</f>
        <v>57146.9091601691</v>
      </c>
    </row>
    <row r="25" customFormat="false" ht="15" hidden="false" customHeight="false" outlineLevel="0" collapsed="false">
      <c r="A25" s="5" t="s">
        <v>285</v>
      </c>
      <c r="B25" s="41" t="n">
        <f aca="false">SUM(E23:N23)</f>
        <v>982726.311717916</v>
      </c>
    </row>
    <row r="26" customFormat="false" ht="15" hidden="false" customHeight="false" outlineLevel="0" collapsed="false">
      <c r="A26" s="5" t="s">
        <v>286</v>
      </c>
      <c r="B26" s="49" t="n">
        <f aca="false">N15*(1+Assumptions!$B$49)*Assumptions!N35*(1-Assumptions!N$42)*(1-Assumptions!$B$49/Assumptions!$B$50)/(DCF!$B$14-Assumptions!$B$49)/(1+DCF!$B$14)^DCF!$B$27</f>
        <v>583187.2479332</v>
      </c>
    </row>
    <row r="27" customFormat="false" ht="15" hidden="false" customHeight="false" outlineLevel="0" collapsed="false">
      <c r="A27" s="5" t="s">
        <v>287</v>
      </c>
      <c r="B27" s="41" t="n">
        <f aca="false">B25+B26</f>
        <v>1565913.55965112</v>
      </c>
    </row>
    <row r="28" customFormat="false" ht="15" hidden="false" customHeight="false" outlineLevel="0" collapsed="false">
      <c r="A28" s="8" t="s">
        <v>288</v>
      </c>
      <c r="B28" s="71" t="n">
        <f aca="false">(B27+DCF!$B$55)/Assumptions!$B$10</f>
        <v>68.7784356455061</v>
      </c>
    </row>
    <row r="29" customFormat="false" ht="15" hidden="false" customHeight="false" outlineLevel="0" collapsed="false">
      <c r="A29" s="5" t="s">
        <v>289</v>
      </c>
      <c r="B29" s="49" t="n">
        <f aca="false">N17*Assumptions!$B$51/(1+DCF!$B$14)^DCF!$B$37</f>
        <v>730103.584821904</v>
      </c>
    </row>
    <row r="30" customFormat="false" ht="15" hidden="false" customHeight="false" outlineLevel="0" collapsed="false">
      <c r="A30" s="5" t="s">
        <v>290</v>
      </c>
      <c r="B30" s="41" t="n">
        <f aca="false">B25+B29</f>
        <v>1712829.89653982</v>
      </c>
    </row>
    <row r="31" customFormat="false" ht="15" hidden="false" customHeight="false" outlineLevel="0" collapsed="false">
      <c r="A31" s="8" t="s">
        <v>291</v>
      </c>
      <c r="B31" s="71" t="n">
        <f aca="false">(B30+DCF!$B$55)/Assumptions!$B$10</f>
        <v>74.8281098019279</v>
      </c>
    </row>
    <row r="32" customFormat="false" ht="15" hidden="false" customHeight="false" outlineLevel="0" collapsed="false">
      <c r="A32" s="8" t="s">
        <v>292</v>
      </c>
      <c r="B32" s="72" t="n">
        <f aca="false">Assumptions!$B$18*B28+(1-Assumptions!$B$18)*B31</f>
        <v>71.803272723717</v>
      </c>
    </row>
    <row r="33" customFormat="false" ht="15" hidden="false" customHeight="false" outlineLevel="0" collapsed="false">
      <c r="A33" s="5" t="s">
        <v>235</v>
      </c>
      <c r="B33" s="41" t="n">
        <f aca="false">N15</f>
        <v>591294.321194182</v>
      </c>
    </row>
    <row r="36" customFormat="false" ht="15" hidden="false" customHeight="false" outlineLevel="0" collapsed="false">
      <c r="A36" s="3" t="s">
        <v>293</v>
      </c>
      <c r="B36" s="4"/>
      <c r="C36" s="4"/>
      <c r="D36" s="4"/>
      <c r="E36" s="12" t="str">
        <f aca="false">Forecast!E4</f>
        <v>FY2027E</v>
      </c>
      <c r="F36" s="12" t="str">
        <f aca="false">Forecast!F4</f>
        <v>FY2028E</v>
      </c>
      <c r="G36" s="12" t="str">
        <f aca="false">Forecast!G4</f>
        <v>FY2029E</v>
      </c>
      <c r="H36" s="12" t="str">
        <f aca="false">Forecast!H4</f>
        <v>FY2030E</v>
      </c>
      <c r="I36" s="12" t="str">
        <f aca="false">Forecast!I4</f>
        <v>FY2031E</v>
      </c>
      <c r="J36" s="12" t="str">
        <f aca="false">Forecast!J4</f>
        <v>FY2032E</v>
      </c>
      <c r="K36" s="12" t="str">
        <f aca="false">Forecast!K4</f>
        <v>FY2033E</v>
      </c>
      <c r="L36" s="12" t="str">
        <f aca="false">Forecast!L4</f>
        <v>FY2034E</v>
      </c>
      <c r="M36" s="12" t="str">
        <f aca="false">Forecast!M4</f>
        <v>FY2035E</v>
      </c>
      <c r="N36" s="12" t="str">
        <f aca="false">Forecast!N4</f>
        <v>FY2036E</v>
      </c>
    </row>
    <row r="37" customFormat="false" ht="15" hidden="false" customHeight="false" outlineLevel="0" collapsed="false">
      <c r="A37" s="5" t="s">
        <v>117</v>
      </c>
      <c r="E37" s="49" t="n">
        <f aca="false">Forecast!$D$7*(1+Assumptions!E29)</f>
        <v>403804.06</v>
      </c>
      <c r="F37" s="41" t="n">
        <f aca="false">E37*(1+Assumptions!F29)</f>
        <v>557249.6028</v>
      </c>
      <c r="G37" s="41" t="n">
        <f aca="false">F37*(1+Assumptions!G29)</f>
        <v>696562.0035</v>
      </c>
      <c r="H37" s="41" t="n">
        <f aca="false">G37*(1+Assumptions!H29)</f>
        <v>821943.16413</v>
      </c>
      <c r="I37" s="41" t="n">
        <f aca="false">H37*(1+Assumptions!I29)</f>
        <v>937015.2071082</v>
      </c>
      <c r="J37" s="41" t="n">
        <f aca="false">I37*(1+Assumptions!J29)</f>
        <v>1040086.8798901</v>
      </c>
      <c r="K37" s="41" t="n">
        <f aca="false">J37*(1+Assumptions!K29)</f>
        <v>1133694.69908021</v>
      </c>
      <c r="L37" s="41" t="n">
        <f aca="false">K37*(1+Assumptions!L29)</f>
        <v>1218721.80151123</v>
      </c>
      <c r="M37" s="41" t="n">
        <f aca="false">L37*(1+Assumptions!M29)</f>
        <v>1291845.1096019</v>
      </c>
      <c r="N37" s="41" t="n">
        <f aca="false">M37*(1+Assumptions!N29)</f>
        <v>1356437.365082</v>
      </c>
    </row>
    <row r="38" customFormat="false" ht="15" hidden="false" customHeight="false" outlineLevel="0" collapsed="false">
      <c r="A38" s="5" t="s">
        <v>282</v>
      </c>
      <c r="E38" s="49" t="n">
        <f aca="false">E37*Assumptions!E36</f>
        <v>262472.639</v>
      </c>
      <c r="F38" s="49" t="n">
        <f aca="false">F37*Assumptions!F36</f>
        <v>356639.745792</v>
      </c>
      <c r="G38" s="49" t="n">
        <f aca="false">G37*Assumptions!G36</f>
        <v>431868.44217</v>
      </c>
      <c r="H38" s="49" t="n">
        <f aca="false">H37*Assumptions!H36</f>
        <v>493165.898478</v>
      </c>
      <c r="I38" s="49" t="n">
        <f aca="false">I37*Assumptions!I36</f>
        <v>543468.820122756</v>
      </c>
      <c r="J38" s="49" t="n">
        <f aca="false">J37*Assumptions!J36</f>
        <v>572047.783939556</v>
      </c>
      <c r="K38" s="49" t="n">
        <f aca="false">K37*Assumptions!K36</f>
        <v>600858.190512512</v>
      </c>
      <c r="L38" s="49" t="n">
        <f aca="false">L37*Assumptions!L36</f>
        <v>621548.118770726</v>
      </c>
      <c r="M38" s="49" t="n">
        <f aca="false">M37*Assumptions!M36</f>
        <v>633004.103704932</v>
      </c>
      <c r="N38" s="49" t="n">
        <f aca="false">N37*Assumptions!N36</f>
        <v>637525.561588538</v>
      </c>
    </row>
    <row r="39" customFormat="false" ht="15" hidden="false" customHeight="false" outlineLevel="0" collapsed="false">
      <c r="A39" s="5" t="s">
        <v>187</v>
      </c>
      <c r="E39" s="49" t="n">
        <f aca="false">E38+E37*Assumptions!E$43</f>
        <v>267318.28772</v>
      </c>
      <c r="F39" s="49" t="n">
        <f aca="false">F38+F37*Assumptions!F$43</f>
        <v>363326.7410256</v>
      </c>
      <c r="G39" s="49" t="n">
        <f aca="false">G38+G37*Assumptions!G$43</f>
        <v>440923.7482155</v>
      </c>
      <c r="H39" s="49" t="n">
        <f aca="false">H38+H37*Assumptions!H$43</f>
        <v>504673.10277582</v>
      </c>
      <c r="I39" s="49" t="n">
        <f aca="false">I38+I37*Assumptions!I$43</f>
        <v>557524.048229379</v>
      </c>
      <c r="J39" s="49" t="n">
        <f aca="false">J38+J37*Assumptions!J$43</f>
        <v>588689.174017798</v>
      </c>
      <c r="K39" s="49" t="n">
        <f aca="false">K38+K37*Assumptions!K$43</f>
        <v>620131.000396876</v>
      </c>
      <c r="L39" s="49" t="n">
        <f aca="false">L38+L37*Assumptions!L$43</f>
        <v>643485.111197928</v>
      </c>
      <c r="M39" s="49" t="n">
        <f aca="false">M38+M37*Assumptions!M$43</f>
        <v>657549.160787368</v>
      </c>
      <c r="N39" s="49" t="n">
        <f aca="false">N38+N37*Assumptions!N$43</f>
        <v>664654.308890178</v>
      </c>
    </row>
    <row r="40" customFormat="false" ht="15" hidden="false" customHeight="false" outlineLevel="0" collapsed="false">
      <c r="A40" s="5" t="s">
        <v>190</v>
      </c>
      <c r="E40" s="49" t="n">
        <f aca="false">E38*(1-Assumptions!E$42)</f>
        <v>217852.29037</v>
      </c>
      <c r="F40" s="49" t="n">
        <f aca="false">F38*(1-Assumptions!F$42)</f>
        <v>292444.59154944</v>
      </c>
      <c r="G40" s="49" t="n">
        <f aca="false">G38*(1-Assumptions!G$42)</f>
        <v>354132.1225794</v>
      </c>
      <c r="H40" s="49" t="n">
        <f aca="false">H38*(1-Assumptions!H$42)</f>
        <v>404396.03675196</v>
      </c>
      <c r="I40" s="49" t="n">
        <f aca="false">I38*(1-Assumptions!I$42)</f>
        <v>445644.43250066</v>
      </c>
      <c r="J40" s="49" t="n">
        <f aca="false">J38*(1-Assumptions!J$42)</f>
        <v>463358.704991041</v>
      </c>
      <c r="K40" s="49" t="n">
        <f aca="false">K38*(1-Assumptions!K$42)</f>
        <v>486695.134315135</v>
      </c>
      <c r="L40" s="49" t="n">
        <f aca="false">L38*(1-Assumptions!L$42)</f>
        <v>503453.976204288</v>
      </c>
      <c r="M40" s="49" t="n">
        <f aca="false">M38*(1-Assumptions!M$42)</f>
        <v>512733.324000995</v>
      </c>
      <c r="N40" s="49" t="n">
        <f aca="false">N38*(1-Assumptions!N$42)</f>
        <v>516395.704886716</v>
      </c>
    </row>
    <row r="41" customFormat="false" ht="15" hidden="false" customHeight="false" outlineLevel="0" collapsed="false">
      <c r="A41" s="5" t="s">
        <v>283</v>
      </c>
      <c r="E41" s="49" t="n">
        <f aca="false">E37*(Assumptions!E$44-Assumptions!E$43)</f>
        <v>5249.45278</v>
      </c>
      <c r="F41" s="49" t="n">
        <f aca="false">F37*(Assumptions!F$44-Assumptions!F$43)</f>
        <v>7801.4944392</v>
      </c>
      <c r="G41" s="49" t="n">
        <f aca="false">G37*(Assumptions!G$44-Assumptions!G$43)</f>
        <v>9055.3060455</v>
      </c>
      <c r="H41" s="49" t="n">
        <f aca="false">H37*(Assumptions!H$44-Assumptions!H$43)</f>
        <v>9863.31796956</v>
      </c>
      <c r="I41" s="49" t="n">
        <f aca="false">I37*(Assumptions!I$44-Assumptions!I$43)</f>
        <v>10307.1672781902</v>
      </c>
      <c r="J41" s="49" t="n">
        <f aca="false">J37*(Assumptions!J$44-Assumptions!J$43)</f>
        <v>9360.78191901092</v>
      </c>
      <c r="K41" s="49" t="n">
        <f aca="false">K37*(Assumptions!K$44-Assumptions!K$43)</f>
        <v>9069.55759264169</v>
      </c>
      <c r="L41" s="49" t="n">
        <f aca="false">L37*(Assumptions!L$44-Assumptions!L$43)</f>
        <v>7312.33080906737</v>
      </c>
      <c r="M41" s="49" t="n">
        <f aca="false">M37*(Assumptions!M$44-Assumptions!M$43)</f>
        <v>6459.22554800951</v>
      </c>
      <c r="N41" s="49" t="n">
        <f aca="false">N37*(Assumptions!N$44-Assumptions!N$43)</f>
        <v>5425.74946032799</v>
      </c>
    </row>
    <row r="42" customFormat="false" ht="15" hidden="false" customHeight="false" outlineLevel="0" collapsed="false">
      <c r="A42" s="5" t="s">
        <v>193</v>
      </c>
      <c r="E42" s="49" t="n">
        <f aca="false">E37*Assumptions!$B$22</f>
        <v>59177.8998173357</v>
      </c>
      <c r="F42" s="49" t="n">
        <f aca="false">F37*Assumptions!$B$22</f>
        <v>81665.5017479233</v>
      </c>
      <c r="G42" s="49" t="n">
        <f aca="false">G37*Assumptions!$B$22</f>
        <v>102081.877184904</v>
      </c>
      <c r="H42" s="49" t="n">
        <f aca="false">H37*Assumptions!$B$22</f>
        <v>120456.615078187</v>
      </c>
      <c r="I42" s="49" t="n">
        <f aca="false">I37*Assumptions!$B$22</f>
        <v>137320.541189133</v>
      </c>
      <c r="J42" s="49" t="n">
        <f aca="false">J37*Assumptions!$B$22</f>
        <v>152425.800719938</v>
      </c>
      <c r="K42" s="49" t="n">
        <f aca="false">K37*Assumptions!$B$22</f>
        <v>166144.122784732</v>
      </c>
      <c r="L42" s="49" t="n">
        <f aca="false">L37*Assumptions!$B$22</f>
        <v>178604.931993587</v>
      </c>
      <c r="M42" s="49" t="n">
        <f aca="false">M37*Assumptions!$B$22</f>
        <v>189321.227913202</v>
      </c>
      <c r="N42" s="49" t="n">
        <f aca="false">N37*Assumptions!$B$22</f>
        <v>198787.289308862</v>
      </c>
    </row>
    <row r="43" customFormat="false" ht="15" hidden="false" customHeight="false" outlineLevel="0" collapsed="false">
      <c r="A43" s="5" t="s">
        <v>194</v>
      </c>
      <c r="E43" s="49" t="n">
        <f aca="false">E42-Forecast!$D$19</f>
        <v>27292.8998173357</v>
      </c>
      <c r="F43" s="41" t="n">
        <f aca="false">F42-E42</f>
        <v>22487.6019305876</v>
      </c>
      <c r="G43" s="41" t="n">
        <f aca="false">G42-F42</f>
        <v>20416.3754369808</v>
      </c>
      <c r="H43" s="41" t="n">
        <f aca="false">H42-G42</f>
        <v>18374.7378932827</v>
      </c>
      <c r="I43" s="41" t="n">
        <f aca="false">I42-H42</f>
        <v>16863.9261109462</v>
      </c>
      <c r="J43" s="41" t="n">
        <f aca="false">J42-I42</f>
        <v>15105.2595308046</v>
      </c>
      <c r="K43" s="41" t="n">
        <f aca="false">K42-J42</f>
        <v>13718.3220647944</v>
      </c>
      <c r="L43" s="41" t="n">
        <f aca="false">L42-K42</f>
        <v>12460.8092088549</v>
      </c>
      <c r="M43" s="41" t="n">
        <f aca="false">M42-L42</f>
        <v>10716.2959196153</v>
      </c>
      <c r="N43" s="41" t="n">
        <f aca="false">N42-M42</f>
        <v>9466.0613956601</v>
      </c>
    </row>
    <row r="44" customFormat="false" ht="15" hidden="false" customHeight="false" outlineLevel="0" collapsed="false">
      <c r="A44" s="8" t="s">
        <v>195</v>
      </c>
      <c r="E44" s="42" t="n">
        <f aca="false">E40-E41-E43</f>
        <v>185309.937772664</v>
      </c>
      <c r="F44" s="42" t="n">
        <f aca="false">F40-F41-F43</f>
        <v>262155.495179653</v>
      </c>
      <c r="G44" s="42" t="n">
        <f aca="false">G40-G41-G43</f>
        <v>324660.441096919</v>
      </c>
      <c r="H44" s="42" t="n">
        <f aca="false">H40-H41-H43</f>
        <v>376157.980889117</v>
      </c>
      <c r="I44" s="42" t="n">
        <f aca="false">I40-I41-I43</f>
        <v>418473.339111523</v>
      </c>
      <c r="J44" s="42" t="n">
        <f aca="false">J40-J41-J43</f>
        <v>438892.663541225</v>
      </c>
      <c r="K44" s="42" t="n">
        <f aca="false">K40-K41-K43</f>
        <v>463907.254657699</v>
      </c>
      <c r="L44" s="42" t="n">
        <f aca="false">L40-L41-L43</f>
        <v>483680.836186366</v>
      </c>
      <c r="M44" s="42" t="n">
        <f aca="false">M40-M41-M43</f>
        <v>495557.80253337</v>
      </c>
      <c r="N44" s="42" t="n">
        <f aca="false">N40-N41-N43</f>
        <v>501503.894030728</v>
      </c>
    </row>
    <row r="45" customFormat="false" ht="15" hidden="false" customHeight="false" outlineLevel="0" collapsed="false">
      <c r="A45" s="5" t="s">
        <v>284</v>
      </c>
      <c r="E45" s="49" t="n">
        <f aca="false">E44*DCF!E$6*DCF!E$9</f>
        <v>54912.106463493</v>
      </c>
      <c r="F45" s="49" t="n">
        <f aca="false">F44*DCF!F$6*DCF!F$9</f>
        <v>239648.338094122</v>
      </c>
      <c r="G45" s="49" t="n">
        <f aca="false">G44*DCF!G$6*DCF!G$9</f>
        <v>265336.777676399</v>
      </c>
      <c r="H45" s="49" t="n">
        <f aca="false">H44*DCF!H$6*DCF!H$9</f>
        <v>274846.984968217</v>
      </c>
      <c r="I45" s="49" t="n">
        <f aca="false">I44*DCF!I$6*DCF!I$9</f>
        <v>273363.868168988</v>
      </c>
      <c r="J45" s="49" t="n">
        <f aca="false">J44*DCF!J$6*DCF!J$9</f>
        <v>256321.041141032</v>
      </c>
      <c r="K45" s="49" t="n">
        <f aca="false">K44*DCF!K$6*DCF!K$9</f>
        <v>242219.844827183</v>
      </c>
      <c r="L45" s="49" t="n">
        <f aca="false">L44*DCF!L$6*DCF!L$9</f>
        <v>225782.386074504</v>
      </c>
      <c r="M45" s="49" t="n">
        <f aca="false">M44*DCF!M$6*DCF!M$9</f>
        <v>206813.134294434</v>
      </c>
      <c r="N45" s="49" t="n">
        <f aca="false">N44*DCF!N$6*DCF!N$9</f>
        <v>187115.915080283</v>
      </c>
    </row>
    <row r="47" customFormat="false" ht="15" hidden="false" customHeight="false" outlineLevel="0" collapsed="false">
      <c r="A47" s="5" t="s">
        <v>285</v>
      </c>
      <c r="B47" s="41" t="n">
        <f aca="false">SUM(E45:N45)</f>
        <v>2226360.39678866</v>
      </c>
    </row>
    <row r="48" customFormat="false" ht="15" hidden="false" customHeight="false" outlineLevel="0" collapsed="false">
      <c r="A48" s="5" t="s">
        <v>286</v>
      </c>
      <c r="B48" s="49" t="n">
        <f aca="false">N37*(1+Assumptions!$C$49)*Assumptions!N36*(1-Assumptions!N$42)*(1-Assumptions!$C$49/Assumptions!$C$50)/(DCF!$B$14-Assumptions!$C$49)/(1+DCF!$B$14)^DCF!$B$27</f>
        <v>2108846.50118597</v>
      </c>
    </row>
    <row r="49" customFormat="false" ht="15" hidden="false" customHeight="false" outlineLevel="0" collapsed="false">
      <c r="A49" s="5" t="s">
        <v>287</v>
      </c>
      <c r="B49" s="41" t="n">
        <f aca="false">B47+B48</f>
        <v>4335206.89797463</v>
      </c>
    </row>
    <row r="50" customFormat="false" ht="15" hidden="false" customHeight="false" outlineLevel="0" collapsed="false">
      <c r="A50" s="8" t="s">
        <v>288</v>
      </c>
      <c r="B50" s="71" t="n">
        <f aca="false">(B49+DCF!$B$55)/Assumptions!$B$10</f>
        <v>182.811515255286</v>
      </c>
    </row>
    <row r="51" customFormat="false" ht="15" hidden="false" customHeight="false" outlineLevel="0" collapsed="false">
      <c r="A51" s="5" t="s">
        <v>289</v>
      </c>
      <c r="B51" s="49" t="n">
        <f aca="false">N39*Assumptions!$C$51/(1+DCF!$B$14)^DCF!$B$37</f>
        <v>3282740.76847548</v>
      </c>
    </row>
    <row r="52" customFormat="false" ht="15" hidden="false" customHeight="false" outlineLevel="0" collapsed="false">
      <c r="A52" s="5" t="s">
        <v>290</v>
      </c>
      <c r="B52" s="41" t="n">
        <f aca="false">B47+B51</f>
        <v>5509101.16526414</v>
      </c>
    </row>
    <row r="53" customFormat="false" ht="15" hidden="false" customHeight="false" outlineLevel="0" collapsed="false">
      <c r="A53" s="8" t="s">
        <v>291</v>
      </c>
      <c r="B53" s="71" t="n">
        <f aca="false">(B52+DCF!$B$55)/Assumptions!$B$10</f>
        <v>231.149759739104</v>
      </c>
    </row>
    <row r="54" customFormat="false" ht="15" hidden="false" customHeight="false" outlineLevel="0" collapsed="false">
      <c r="A54" s="8" t="s">
        <v>292</v>
      </c>
      <c r="B54" s="72" t="n">
        <f aca="false">Assumptions!$B$18*B50+(1-Assumptions!$B$18)*B53</f>
        <v>206.980637497195</v>
      </c>
    </row>
    <row r="55" customFormat="false" ht="15" hidden="false" customHeight="false" outlineLevel="0" collapsed="false">
      <c r="A55" s="5" t="s">
        <v>235</v>
      </c>
      <c r="B55" s="41" t="n">
        <f aca="false">N37</f>
        <v>1356437.365082</v>
      </c>
    </row>
    <row r="58" customFormat="false" ht="15" hidden="false" customHeight="false" outlineLevel="0" collapsed="false">
      <c r="A58" s="3" t="s">
        <v>294</v>
      </c>
      <c r="B58" s="4"/>
      <c r="C58" s="4"/>
      <c r="D58" s="4"/>
      <c r="E58" s="12" t="str">
        <f aca="false">Forecast!E4</f>
        <v>FY2027E</v>
      </c>
      <c r="F58" s="12" t="str">
        <f aca="false">Forecast!F4</f>
        <v>FY2028E</v>
      </c>
      <c r="G58" s="12" t="str">
        <f aca="false">Forecast!G4</f>
        <v>FY2029E</v>
      </c>
      <c r="H58" s="12" t="str">
        <f aca="false">Forecast!H4</f>
        <v>FY2030E</v>
      </c>
      <c r="I58" s="12" t="str">
        <f aca="false">Forecast!I4</f>
        <v>FY2031E</v>
      </c>
      <c r="J58" s="12" t="str">
        <f aca="false">Forecast!J4</f>
        <v>FY2032E</v>
      </c>
      <c r="K58" s="12" t="str">
        <f aca="false">Forecast!K4</f>
        <v>FY2033E</v>
      </c>
      <c r="L58" s="12" t="str">
        <f aca="false">Forecast!L4</f>
        <v>FY2034E</v>
      </c>
      <c r="M58" s="12" t="str">
        <f aca="false">Forecast!M4</f>
        <v>FY2035E</v>
      </c>
      <c r="N58" s="12" t="str">
        <f aca="false">Forecast!N4</f>
        <v>FY2036E</v>
      </c>
    </row>
    <row r="59" customFormat="false" ht="15" hidden="false" customHeight="false" outlineLevel="0" collapsed="false">
      <c r="A59" s="5" t="s">
        <v>117</v>
      </c>
      <c r="E59" s="49" t="n">
        <f aca="false">Forecast!$D$7*(1+Assumptions!E30)</f>
        <v>414600.96</v>
      </c>
      <c r="F59" s="41" t="n">
        <f aca="false">E59*(1+Assumptions!F30)</f>
        <v>621901.44</v>
      </c>
      <c r="G59" s="41" t="n">
        <f aca="false">F59*(1+Assumptions!G30)</f>
        <v>820909.9008</v>
      </c>
      <c r="H59" s="41" t="n">
        <f aca="false">G59*(1+Assumptions!H30)</f>
        <v>1009719.177984</v>
      </c>
      <c r="I59" s="41" t="n">
        <f aca="false">H59*(1+Assumptions!I30)</f>
        <v>1181371.43824128</v>
      </c>
      <c r="J59" s="41" t="n">
        <f aca="false">I59*(1+Assumptions!J30)</f>
        <v>1334949.72521265</v>
      </c>
      <c r="K59" s="41" t="n">
        <f aca="false">J59*(1+Assumptions!K30)</f>
        <v>1468444.69773391</v>
      </c>
      <c r="L59" s="41" t="n">
        <f aca="false">K59*(1+Assumptions!L30)</f>
        <v>1585920.27355262</v>
      </c>
      <c r="M59" s="41" t="n">
        <f aca="false">L59*(1+Assumptions!M30)</f>
        <v>1689005.09133354</v>
      </c>
      <c r="N59" s="41" t="n">
        <f aca="false">M59*(1+Assumptions!N30)</f>
        <v>1781900.37135689</v>
      </c>
    </row>
    <row r="60" customFormat="false" ht="15" hidden="false" customHeight="false" outlineLevel="0" collapsed="false">
      <c r="A60" s="5" t="s">
        <v>282</v>
      </c>
      <c r="E60" s="49" t="n">
        <f aca="false">E59*Assumptions!E37</f>
        <v>273636.6336</v>
      </c>
      <c r="F60" s="49" t="n">
        <f aca="false">F59*Assumptions!F37</f>
        <v>410454.9504</v>
      </c>
      <c r="G60" s="49" t="n">
        <f aca="false">G59*Assumptions!G37</f>
        <v>533591.43552</v>
      </c>
      <c r="H60" s="49" t="n">
        <f aca="false">H59*Assumptions!H37</f>
        <v>646220.27390976</v>
      </c>
      <c r="I60" s="49" t="n">
        <f aca="false">I59*Assumptions!I37</f>
        <v>732450.291709594</v>
      </c>
      <c r="J60" s="49" t="n">
        <f aca="false">J59*Assumptions!J37</f>
        <v>800969.835127588</v>
      </c>
      <c r="K60" s="49" t="n">
        <f aca="false">K59*Assumptions!K37</f>
        <v>851697.924685668</v>
      </c>
      <c r="L60" s="49" t="n">
        <f aca="false">L59*Assumptions!L37</f>
        <v>888115.35318947</v>
      </c>
      <c r="M60" s="49" t="n">
        <f aca="false">M59*Assumptions!M37</f>
        <v>912062.749320114</v>
      </c>
      <c r="N60" s="49" t="n">
        <f aca="false">N59*Assumptions!N37</f>
        <v>926588.193105583</v>
      </c>
    </row>
    <row r="61" customFormat="false" ht="15" hidden="false" customHeight="false" outlineLevel="0" collapsed="false">
      <c r="A61" s="5" t="s">
        <v>187</v>
      </c>
      <c r="E61" s="49" t="n">
        <f aca="false">E60+E59*Assumptions!E$43</f>
        <v>278611.84512</v>
      </c>
      <c r="F61" s="49" t="n">
        <f aca="false">F60+F59*Assumptions!F$43</f>
        <v>417917.76768</v>
      </c>
      <c r="G61" s="49" t="n">
        <f aca="false">G60+G59*Assumptions!G$43</f>
        <v>544263.2642304</v>
      </c>
      <c r="H61" s="49" t="n">
        <f aca="false">H60+H59*Assumptions!H$43</f>
        <v>660356.342401536</v>
      </c>
      <c r="I61" s="49" t="n">
        <f aca="false">I60+I59*Assumptions!I$43</f>
        <v>750170.863283213</v>
      </c>
      <c r="J61" s="49" t="n">
        <f aca="false">J60+J59*Assumptions!J$43</f>
        <v>822329.03073099</v>
      </c>
      <c r="K61" s="49" t="n">
        <f aca="false">K60+K59*Assumptions!K$43</f>
        <v>876661.484547145</v>
      </c>
      <c r="L61" s="49" t="n">
        <f aca="false">L60+L59*Assumptions!L$43</f>
        <v>916661.918113417</v>
      </c>
      <c r="M61" s="49" t="n">
        <f aca="false">M60+M59*Assumptions!M$43</f>
        <v>944153.846055452</v>
      </c>
      <c r="N61" s="49" t="n">
        <f aca="false">N60+N59*Assumptions!N$43</f>
        <v>962226.20053272</v>
      </c>
    </row>
    <row r="62" customFormat="false" ht="15" hidden="false" customHeight="false" outlineLevel="0" collapsed="false">
      <c r="A62" s="5" t="s">
        <v>190</v>
      </c>
      <c r="E62" s="49" t="n">
        <f aca="false">E60*(1-Assumptions!E$42)</f>
        <v>227118.405888</v>
      </c>
      <c r="F62" s="49" t="n">
        <f aca="false">F60*(1-Assumptions!F$42)</f>
        <v>336573.059328</v>
      </c>
      <c r="G62" s="49" t="n">
        <f aca="false">G60*(1-Assumptions!G$42)</f>
        <v>437544.9771264</v>
      </c>
      <c r="H62" s="49" t="n">
        <f aca="false">H60*(1-Assumptions!H$42)</f>
        <v>529900.624606003</v>
      </c>
      <c r="I62" s="49" t="n">
        <f aca="false">I60*(1-Assumptions!I$42)</f>
        <v>600609.239201867</v>
      </c>
      <c r="J62" s="49" t="n">
        <f aca="false">J60*(1-Assumptions!J$42)</f>
        <v>648785.566453346</v>
      </c>
      <c r="K62" s="49" t="n">
        <f aca="false">K60*(1-Assumptions!K$42)</f>
        <v>689875.318995391</v>
      </c>
      <c r="L62" s="49" t="n">
        <f aca="false">L60*(1-Assumptions!L$42)</f>
        <v>719373.43608347</v>
      </c>
      <c r="M62" s="49" t="n">
        <f aca="false">M60*(1-Assumptions!M$42)</f>
        <v>738770.826949293</v>
      </c>
      <c r="N62" s="49" t="n">
        <f aca="false">N60*(1-Assumptions!N$42)</f>
        <v>750536.436415522</v>
      </c>
    </row>
    <row r="63" customFormat="false" ht="15" hidden="false" customHeight="false" outlineLevel="0" collapsed="false">
      <c r="A63" s="5" t="s">
        <v>283</v>
      </c>
      <c r="E63" s="49" t="n">
        <f aca="false">E59*(Assumptions!E$44-Assumptions!E$43)</f>
        <v>5389.81248</v>
      </c>
      <c r="F63" s="49" t="n">
        <f aca="false">F59*(Assumptions!F$44-Assumptions!F$43)</f>
        <v>8706.62016</v>
      </c>
      <c r="G63" s="49" t="n">
        <f aca="false">G59*(Assumptions!G$44-Assumptions!G$43)</f>
        <v>10671.8287104</v>
      </c>
      <c r="H63" s="49" t="n">
        <f aca="false">H59*(Assumptions!H$44-Assumptions!H$43)</f>
        <v>12116.630135808</v>
      </c>
      <c r="I63" s="49" t="n">
        <f aca="false">I59*(Assumptions!I$44-Assumptions!I$43)</f>
        <v>12995.0858206541</v>
      </c>
      <c r="J63" s="49" t="n">
        <f aca="false">J59*(Assumptions!J$44-Assumptions!J$43)</f>
        <v>12014.5475269138</v>
      </c>
      <c r="K63" s="49" t="n">
        <f aca="false">K59*(Assumptions!K$44-Assumptions!K$43)</f>
        <v>11747.5575818713</v>
      </c>
      <c r="L63" s="49" t="n">
        <f aca="false">L59*(Assumptions!L$44-Assumptions!L$43)</f>
        <v>9515.52164131575</v>
      </c>
      <c r="M63" s="49" t="n">
        <f aca="false">M59*(Assumptions!M$44-Assumptions!M$43)</f>
        <v>8445.02545666773</v>
      </c>
      <c r="N63" s="49" t="n">
        <f aca="false">N59*(Assumptions!N$44-Assumptions!N$43)</f>
        <v>7127.60148542756</v>
      </c>
    </row>
    <row r="64" customFormat="false" ht="15" hidden="false" customHeight="false" outlineLevel="0" collapsed="false">
      <c r="A64" s="5" t="s">
        <v>193</v>
      </c>
      <c r="E64" s="49" t="n">
        <f aca="false">E59*Assumptions!$B$22</f>
        <v>60760.1966038955</v>
      </c>
      <c r="F64" s="49" t="n">
        <f aca="false">F59*Assumptions!$B$22</f>
        <v>91140.2949058432</v>
      </c>
      <c r="G64" s="49" t="n">
        <f aca="false">G59*Assumptions!$B$22</f>
        <v>120305.189275713</v>
      </c>
      <c r="H64" s="49" t="n">
        <f aca="false">H59*Assumptions!$B$22</f>
        <v>147975.382809127</v>
      </c>
      <c r="I64" s="49" t="n">
        <f aca="false">I59*Assumptions!$B$22</f>
        <v>173131.197886679</v>
      </c>
      <c r="J64" s="49" t="n">
        <f aca="false">J59*Assumptions!$B$22</f>
        <v>195638.253611947</v>
      </c>
      <c r="K64" s="49" t="n">
        <f aca="false">K59*Assumptions!$B$22</f>
        <v>215202.078973142</v>
      </c>
      <c r="L64" s="49" t="n">
        <f aca="false">L59*Assumptions!$B$22</f>
        <v>232418.245290993</v>
      </c>
      <c r="M64" s="49" t="n">
        <f aca="false">M59*Assumptions!$B$22</f>
        <v>247525.431234908</v>
      </c>
      <c r="N64" s="49" t="n">
        <f aca="false">N59*Assumptions!$B$22</f>
        <v>261139.329952827</v>
      </c>
    </row>
    <row r="65" customFormat="false" ht="15" hidden="false" customHeight="false" outlineLevel="0" collapsed="false">
      <c r="A65" s="5" t="s">
        <v>194</v>
      </c>
      <c r="E65" s="49" t="n">
        <f aca="false">E64-Forecast!$D$19</f>
        <v>28875.1966038955</v>
      </c>
      <c r="F65" s="41" t="n">
        <f aca="false">F64-E64</f>
        <v>30380.0983019477</v>
      </c>
      <c r="G65" s="41" t="n">
        <f aca="false">G64-F64</f>
        <v>29164.8943698698</v>
      </c>
      <c r="H65" s="41" t="n">
        <f aca="false">H64-G64</f>
        <v>27670.193533414</v>
      </c>
      <c r="I65" s="41" t="n">
        <f aca="false">I64-H64</f>
        <v>25155.8150775516</v>
      </c>
      <c r="J65" s="41" t="n">
        <f aca="false">J64-I64</f>
        <v>22507.0557252682</v>
      </c>
      <c r="K65" s="41" t="n">
        <f aca="false">K64-J64</f>
        <v>19563.8253611947</v>
      </c>
      <c r="L65" s="41" t="n">
        <f aca="false">L64-K64</f>
        <v>17216.1663178513</v>
      </c>
      <c r="M65" s="41" t="n">
        <f aca="false">M64-L64</f>
        <v>15107.1859439145</v>
      </c>
      <c r="N65" s="41" t="n">
        <f aca="false">N64-M64</f>
        <v>13613.8987179199</v>
      </c>
    </row>
    <row r="66" customFormat="false" ht="15" hidden="false" customHeight="false" outlineLevel="0" collapsed="false">
      <c r="A66" s="8" t="s">
        <v>195</v>
      </c>
      <c r="E66" s="42" t="n">
        <f aca="false">E62-E63-E65</f>
        <v>192853.396804105</v>
      </c>
      <c r="F66" s="42" t="n">
        <f aca="false">F62-F63-F65</f>
        <v>297486.340866052</v>
      </c>
      <c r="G66" s="42" t="n">
        <f aca="false">G62-G63-G65</f>
        <v>397708.25404613</v>
      </c>
      <c r="H66" s="42" t="n">
        <f aca="false">H62-H63-H65</f>
        <v>490113.800936781</v>
      </c>
      <c r="I66" s="42" t="n">
        <f aca="false">I62-I63-I65</f>
        <v>562458.338303661</v>
      </c>
      <c r="J66" s="42" t="n">
        <f aca="false">J62-J63-J65</f>
        <v>614263.963201164</v>
      </c>
      <c r="K66" s="42" t="n">
        <f aca="false">K62-K63-K65</f>
        <v>658563.936052325</v>
      </c>
      <c r="L66" s="42" t="n">
        <f aca="false">L62-L63-L65</f>
        <v>692641.748124303</v>
      </c>
      <c r="M66" s="42" t="n">
        <f aca="false">M62-M63-M65</f>
        <v>715218.61554871</v>
      </c>
      <c r="N66" s="42" t="n">
        <f aca="false">N62-N63-N65</f>
        <v>729794.936212174</v>
      </c>
    </row>
    <row r="67" customFormat="false" ht="15" hidden="false" customHeight="false" outlineLevel="0" collapsed="false">
      <c r="A67" s="5" t="s">
        <v>284</v>
      </c>
      <c r="E67" s="49" t="n">
        <f aca="false">E66*DCF!E$6*DCF!E$9</f>
        <v>57147.4276255216</v>
      </c>
      <c r="F67" s="49" t="n">
        <f aca="false">F66*DCF!F$6*DCF!F$9</f>
        <v>271945.881376224</v>
      </c>
      <c r="G67" s="49" t="n">
        <f aca="false">G66*DCF!G$6*DCF!G$9</f>
        <v>325036.910032426</v>
      </c>
      <c r="H67" s="49" t="n">
        <f aca="false">H66*DCF!H$6*DCF!H$9</f>
        <v>358110.972842805</v>
      </c>
      <c r="I67" s="49" t="n">
        <f aca="false">I66*DCF!I$6*DCF!I$9</f>
        <v>367420.747446026</v>
      </c>
      <c r="J67" s="49" t="n">
        <f aca="false">J66*DCF!J$6*DCF!J$9</f>
        <v>358740.967125666</v>
      </c>
      <c r="K67" s="49" t="n">
        <f aca="false">K66*DCF!K$6*DCF!K$9</f>
        <v>343855.916883808</v>
      </c>
      <c r="L67" s="49" t="n">
        <f aca="false">L66*DCF!L$6*DCF!L$9</f>
        <v>323325.413963815</v>
      </c>
      <c r="M67" s="49" t="n">
        <f aca="false">M66*DCF!M$6*DCF!M$9</f>
        <v>298485.066386164</v>
      </c>
      <c r="N67" s="49" t="n">
        <f aca="false">N66*DCF!N$6*DCF!N$9</f>
        <v>272293.49350163</v>
      </c>
    </row>
    <row r="69" customFormat="false" ht="15" hidden="false" customHeight="false" outlineLevel="0" collapsed="false">
      <c r="A69" s="5" t="s">
        <v>285</v>
      </c>
      <c r="B69" s="41" t="n">
        <f aca="false">SUM(E67:N67)</f>
        <v>2976362.79718409</v>
      </c>
    </row>
    <row r="70" customFormat="false" ht="15" hidden="false" customHeight="false" outlineLevel="0" collapsed="false">
      <c r="A70" s="5" t="s">
        <v>286</v>
      </c>
      <c r="B70" s="49" t="n">
        <f aca="false">N59*(1+Assumptions!$D$49)*Assumptions!N37*(1-Assumptions!N$42)*(1-Assumptions!$D$49/Assumptions!$D$50)/(DCF!$B$14-Assumptions!$D$49)/(1+DCF!$B$14)^DCF!$B$27</f>
        <v>3337736.99006863</v>
      </c>
    </row>
    <row r="71" customFormat="false" ht="15" hidden="false" customHeight="false" outlineLevel="0" collapsed="false">
      <c r="A71" s="5" t="s">
        <v>287</v>
      </c>
      <c r="B71" s="41" t="n">
        <f aca="false">B69+B70</f>
        <v>6314099.78725272</v>
      </c>
    </row>
    <row r="72" customFormat="false" ht="15" hidden="false" customHeight="false" outlineLevel="0" collapsed="false">
      <c r="A72" s="8" t="s">
        <v>288</v>
      </c>
      <c r="B72" s="71" t="n">
        <f aca="false">(B71+DCF!$B$55)/Assumptions!$B$10</f>
        <v>264.297736761487</v>
      </c>
    </row>
    <row r="73" customFormat="false" ht="15" hidden="false" customHeight="false" outlineLevel="0" collapsed="false">
      <c r="A73" s="5" t="s">
        <v>289</v>
      </c>
      <c r="B73" s="49" t="n">
        <f aca="false">N61*Assumptions!$D$51/(1+DCF!$B$14)^DCF!$B$37</f>
        <v>6110298.28645073</v>
      </c>
    </row>
    <row r="74" customFormat="false" ht="15" hidden="false" customHeight="false" outlineLevel="0" collapsed="false">
      <c r="A74" s="5" t="s">
        <v>290</v>
      </c>
      <c r="B74" s="41" t="n">
        <f aca="false">B69+B73</f>
        <v>9086661.08363481</v>
      </c>
    </row>
    <row r="75" customFormat="false" ht="15" hidden="false" customHeight="false" outlineLevel="0" collapsed="false">
      <c r="A75" s="8" t="s">
        <v>291</v>
      </c>
      <c r="B75" s="71" t="n">
        <f aca="false">(B74+DCF!$B$55)/Assumptions!$B$10</f>
        <v>378.465383308001</v>
      </c>
    </row>
    <row r="76" customFormat="false" ht="15" hidden="false" customHeight="false" outlineLevel="0" collapsed="false">
      <c r="A76" s="8" t="s">
        <v>292</v>
      </c>
      <c r="B76" s="72" t="n">
        <f aca="false">Assumptions!$B$18*B72+(1-Assumptions!$B$18)*B75</f>
        <v>321.381560034744</v>
      </c>
    </row>
    <row r="77" customFormat="false" ht="15" hidden="false" customHeight="false" outlineLevel="0" collapsed="false">
      <c r="A77" s="5" t="s">
        <v>235</v>
      </c>
      <c r="B77" s="41" t="n">
        <f aca="false">N59</f>
        <v>1781900.37135689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1" t="s">
        <v>295</v>
      </c>
    </row>
    <row r="2" customFormat="false" ht="15" hidden="false" customHeight="false" outlineLevel="0" collapsed="false">
      <c r="A2" s="2" t="s">
        <v>296</v>
      </c>
    </row>
    <row r="3" customFormat="false" ht="15" hidden="false" customHeight="false" outlineLevel="0" collapsed="false">
      <c r="A3" s="5" t="s">
        <v>260</v>
      </c>
      <c r="B3" s="13" t="n">
        <f aca="false">Assumptions!B9</f>
        <v>226.32</v>
      </c>
    </row>
    <row r="4" customFormat="false" ht="15" hidden="false" customHeight="false" outlineLevel="0" collapsed="false">
      <c r="A4" s="5" t="s">
        <v>297</v>
      </c>
      <c r="B4" s="14" t="n">
        <f aca="false">(Forecast!N7/Forecast!E7)^(1/9)-1</f>
        <v>0.144115570198795</v>
      </c>
    </row>
    <row r="5" customFormat="false" ht="15" hidden="false" customHeight="false" outlineLevel="0" collapsed="false">
      <c r="A5" s="5" t="s">
        <v>298</v>
      </c>
      <c r="B5" s="14" t="n">
        <f aca="false">Forecast!N8</f>
        <v>0.47</v>
      </c>
    </row>
    <row r="6" customFormat="false" ht="15" hidden="false" customHeight="false" outlineLevel="0" collapsed="false">
      <c r="A6" s="2" t="s">
        <v>299</v>
      </c>
      <c r="F6" s="73" t="n">
        <v>1</v>
      </c>
      <c r="G6" s="73" t="n">
        <v>2</v>
      </c>
      <c r="H6" s="73" t="n">
        <v>3</v>
      </c>
      <c r="I6" s="73" t="n">
        <v>4</v>
      </c>
      <c r="J6" s="73" t="n">
        <v>5</v>
      </c>
      <c r="K6" s="73" t="n">
        <v>6</v>
      </c>
      <c r="L6" s="73" t="n">
        <v>7</v>
      </c>
      <c r="M6" s="73" t="n">
        <v>8</v>
      </c>
      <c r="N6" s="73" t="n">
        <v>9</v>
      </c>
    </row>
    <row r="8" customFormat="false" ht="15" hidden="false" customHeight="false" outlineLevel="0" collapsed="false">
      <c r="A8" s="3" t="s">
        <v>300</v>
      </c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8" t="s">
        <v>301</v>
      </c>
      <c r="B9" s="74" t="n">
        <v>0.35</v>
      </c>
      <c r="C9" s="74" t="n">
        <v>0.4</v>
      </c>
      <c r="D9" s="74" t="n">
        <v>0.45</v>
      </c>
      <c r="E9" s="74" t="n">
        <v>0.5</v>
      </c>
      <c r="F9" s="74" t="n">
        <v>0.55</v>
      </c>
      <c r="G9" s="74" t="n">
        <v>0.6</v>
      </c>
      <c r="H9" s="75" t="n">
        <f aca="false">Forecast!N8</f>
        <v>0.47</v>
      </c>
    </row>
    <row r="10" customFormat="false" ht="15" hidden="false" customHeight="false" outlineLevel="0" collapsed="false">
      <c r="A10" s="74" t="n">
        <v>0.04</v>
      </c>
      <c r="B10" s="13" t="n">
        <f aca="false">(DCF!$E$7*DCF!$E$9+SUMPRODUCT((Forecast!$E$7*(1+$A10)^$F$6:$N$6*(Forecast!$E$8+(B$9-Forecast!$E$8)*$F$6:$N$6/9)*(1-Forecast!$F$13:$N$13)-(Forecast!$F$16:$N$16-Forecast!$F$10:$N$10)*Forecast!$E$7*(1+$A10)^$F$6:$N$6-Assumptions!$B$22*Forecast!$E$7*(1+$A10)^($F$6:$N$6-1)*$A10)/(1+DCF!$B$14)^(DCF!$B$15+$F$6:$N$6-0.5))+Forecast!$E$7*(1+$A10)^9*(1+DCF!$B$16)*B$9*(1-Forecast!$N$13)*(1-DCF!$B$16/DCF!$B$17)/(DCF!$B$14-DCF!$B$16)/(1+DCF!$B$14)^DCF!$B$27+DCF!$B$55)/Assumptions!$B$10</f>
        <v>76.3946460616757</v>
      </c>
      <c r="C10" s="13" t="n">
        <f aca="false">(DCF!$E$7*DCF!$E$9+SUMPRODUCT((Forecast!$E$7*(1+$A10)^$F$6:$N$6*(Forecast!$E$8+(C$9-Forecast!$E$8)*$F$6:$N$6/9)*(1-Forecast!$F$13:$N$13)-(Forecast!$F$16:$N$16-Forecast!$F$10:$N$10)*Forecast!$E$7*(1+$A10)^$F$6:$N$6-Assumptions!$B$22*Forecast!$E$7*(1+$A10)^($F$6:$N$6-1)*$A10)/(1+DCF!$B$14)^(DCF!$B$15+$F$6:$N$6-0.5))+Forecast!$E$7*(1+$A10)^9*(1+DCF!$B$16)*C$9*(1-Forecast!$N$13)*(1-DCF!$B$16/DCF!$B$17)/(DCF!$B$14-DCF!$B$16)/(1+DCF!$B$14)^DCF!$B$27+DCF!$B$55)/Assumptions!$B$10</f>
        <v>82.5168514703972</v>
      </c>
      <c r="D10" s="13" t="n">
        <f aca="false">(DCF!$E$7*DCF!$E$9+SUMPRODUCT((Forecast!$E$7*(1+$A10)^$F$6:$N$6*(Forecast!$E$8+(D$9-Forecast!$E$8)*$F$6:$N$6/9)*(1-Forecast!$F$13:$N$13)-(Forecast!$F$16:$N$16-Forecast!$F$10:$N$10)*Forecast!$E$7*(1+$A10)^$F$6:$N$6-Assumptions!$B$22*Forecast!$E$7*(1+$A10)^($F$6:$N$6-1)*$A10)/(1+DCF!$B$14)^(DCF!$B$15+$F$6:$N$6-0.5))+Forecast!$E$7*(1+$A10)^9*(1+DCF!$B$16)*D$9*(1-Forecast!$N$13)*(1-DCF!$B$16/DCF!$B$17)/(DCF!$B$14-DCF!$B$16)/(1+DCF!$B$14)^DCF!$B$27+DCF!$B$55)/Assumptions!$B$10</f>
        <v>88.6390568791187</v>
      </c>
      <c r="E10" s="13" t="n">
        <f aca="false">(DCF!$E$7*DCF!$E$9+SUMPRODUCT((Forecast!$E$7*(1+$A10)^$F$6:$N$6*(Forecast!$E$8+(E$9-Forecast!$E$8)*$F$6:$N$6/9)*(1-Forecast!$F$13:$N$13)-(Forecast!$F$16:$N$16-Forecast!$F$10:$N$10)*Forecast!$E$7*(1+$A10)^$F$6:$N$6-Assumptions!$B$22*Forecast!$E$7*(1+$A10)^($F$6:$N$6-1)*$A10)/(1+DCF!$B$14)^(DCF!$B$15+$F$6:$N$6-0.5))+Forecast!$E$7*(1+$A10)^9*(1+DCF!$B$16)*E$9*(1-Forecast!$N$13)*(1-DCF!$B$16/DCF!$B$17)/(DCF!$B$14-DCF!$B$16)/(1+DCF!$B$14)^DCF!$B$27+DCF!$B$55)/Assumptions!$B$10</f>
        <v>94.7612622878402</v>
      </c>
      <c r="F10" s="13" t="n">
        <f aca="false">(DCF!$E$7*DCF!$E$9+SUMPRODUCT((Forecast!$E$7*(1+$A10)^$F$6:$N$6*(Forecast!$E$8+(F$9-Forecast!$E$8)*$F$6:$N$6/9)*(1-Forecast!$F$13:$N$13)-(Forecast!$F$16:$N$16-Forecast!$F$10:$N$10)*Forecast!$E$7*(1+$A10)^$F$6:$N$6-Assumptions!$B$22*Forecast!$E$7*(1+$A10)^($F$6:$N$6-1)*$A10)/(1+DCF!$B$14)^(DCF!$B$15+$F$6:$N$6-0.5))+Forecast!$E$7*(1+$A10)^9*(1+DCF!$B$16)*F$9*(1-Forecast!$N$13)*(1-DCF!$B$16/DCF!$B$17)/(DCF!$B$14-DCF!$B$16)/(1+DCF!$B$14)^DCF!$B$27+DCF!$B$55)/Assumptions!$B$10</f>
        <v>100.883467696562</v>
      </c>
      <c r="G10" s="13" t="n">
        <f aca="false">(DCF!$E$7*DCF!$E$9+SUMPRODUCT((Forecast!$E$7*(1+$A10)^$F$6:$N$6*(Forecast!$E$8+(G$9-Forecast!$E$8)*$F$6:$N$6/9)*(1-Forecast!$F$13:$N$13)-(Forecast!$F$16:$N$16-Forecast!$F$10:$N$10)*Forecast!$E$7*(1+$A10)^$F$6:$N$6-Assumptions!$B$22*Forecast!$E$7*(1+$A10)^($F$6:$N$6-1)*$A10)/(1+DCF!$B$14)^(DCF!$B$15+$F$6:$N$6-0.5))+Forecast!$E$7*(1+$A10)^9*(1+DCF!$B$16)*G$9*(1-Forecast!$N$13)*(1-DCF!$B$16/DCF!$B$17)/(DCF!$B$14-DCF!$B$16)/(1+DCF!$B$14)^DCF!$B$27+DCF!$B$55)/Assumptions!$B$10</f>
        <v>107.005673105283</v>
      </c>
      <c r="H10" s="13" t="n">
        <f aca="false">(DCF!$E$7*DCF!$E$9+SUMPRODUCT((Forecast!$E$7*(1+$A10)^$F$6:$N$6*(Forecast!$E$8+(H$9-Forecast!$E$8)*$F$6:$N$6/9)*(1-Forecast!$F$13:$N$13)-(Forecast!$F$16:$N$16-Forecast!$F$10:$N$10)*Forecast!$E$7*(1+$A10)^$F$6:$N$6-Assumptions!$B$22*Forecast!$E$7*(1+$A10)^($F$6:$N$6-1)*$A10)/(1+DCF!$B$14)^(DCF!$B$15+$F$6:$N$6-0.5))+Forecast!$E$7*(1+$A10)^9*(1+DCF!$B$16)*H$9*(1-Forecast!$N$13)*(1-DCF!$B$16/DCF!$B$17)/(DCF!$B$14-DCF!$B$16)/(1+DCF!$B$14)^DCF!$B$27+DCF!$B$55)/Assumptions!$B$10</f>
        <v>91.0879390426073</v>
      </c>
    </row>
    <row r="11" customFormat="false" ht="15" hidden="false" customHeight="false" outlineLevel="0" collapsed="false">
      <c r="A11" s="74" t="n">
        <v>0.06</v>
      </c>
      <c r="B11" s="13" t="n">
        <f aca="false">(DCF!$E$7*DCF!$E$9+SUMPRODUCT((Forecast!$E$7*(1+$A11)^$F$6:$N$6*(Forecast!$E$8+(B$9-Forecast!$E$8)*$F$6:$N$6/9)*(1-Forecast!$F$13:$N$13)-(Forecast!$F$16:$N$16-Forecast!$F$10:$N$10)*Forecast!$E$7*(1+$A11)^$F$6:$N$6-Assumptions!$B$22*Forecast!$E$7*(1+$A11)^($F$6:$N$6-1)*$A11)/(1+DCF!$B$14)^(DCF!$B$15+$F$6:$N$6-0.5))+Forecast!$E$7*(1+$A11)^9*(1+DCF!$B$16)*B$9*(1-Forecast!$N$13)*(1-DCF!$B$16/DCF!$B$17)/(DCF!$B$14-DCF!$B$16)/(1+DCF!$B$14)^DCF!$B$27+DCF!$B$55)/Assumptions!$B$10</f>
        <v>84.6798310204049</v>
      </c>
      <c r="C11" s="13" t="n">
        <f aca="false">(DCF!$E$7*DCF!$E$9+SUMPRODUCT((Forecast!$E$7*(1+$A11)^$F$6:$N$6*(Forecast!$E$8+(C$9-Forecast!$E$8)*$F$6:$N$6/9)*(1-Forecast!$F$13:$N$13)-(Forecast!$F$16:$N$16-Forecast!$F$10:$N$10)*Forecast!$E$7*(1+$A11)^$F$6:$N$6-Assumptions!$B$22*Forecast!$E$7*(1+$A11)^($F$6:$N$6-1)*$A11)/(1+DCF!$B$14)^(DCF!$B$15+$F$6:$N$6-0.5))+Forecast!$E$7*(1+$A11)^9*(1+DCF!$B$16)*C$9*(1-Forecast!$N$13)*(1-DCF!$B$16/DCF!$B$17)/(DCF!$B$14-DCF!$B$16)/(1+DCF!$B$14)^DCF!$B$27+DCF!$B$55)/Assumptions!$B$10</f>
        <v>91.8014477128544</v>
      </c>
      <c r="D11" s="13" t="n">
        <f aca="false">(DCF!$E$7*DCF!$E$9+SUMPRODUCT((Forecast!$E$7*(1+$A11)^$F$6:$N$6*(Forecast!$E$8+(D$9-Forecast!$E$8)*$F$6:$N$6/9)*(1-Forecast!$F$13:$N$13)-(Forecast!$F$16:$N$16-Forecast!$F$10:$N$10)*Forecast!$E$7*(1+$A11)^$F$6:$N$6-Assumptions!$B$22*Forecast!$E$7*(1+$A11)^($F$6:$N$6-1)*$A11)/(1+DCF!$B$14)^(DCF!$B$15+$F$6:$N$6-0.5))+Forecast!$E$7*(1+$A11)^9*(1+DCF!$B$16)*D$9*(1-Forecast!$N$13)*(1-DCF!$B$16/DCF!$B$17)/(DCF!$B$14-DCF!$B$16)/(1+DCF!$B$14)^DCF!$B$27+DCF!$B$55)/Assumptions!$B$10</f>
        <v>98.9230644053039</v>
      </c>
      <c r="E11" s="13" t="n">
        <f aca="false">(DCF!$E$7*DCF!$E$9+SUMPRODUCT((Forecast!$E$7*(1+$A11)^$F$6:$N$6*(Forecast!$E$8+(E$9-Forecast!$E$8)*$F$6:$N$6/9)*(1-Forecast!$F$13:$N$13)-(Forecast!$F$16:$N$16-Forecast!$F$10:$N$10)*Forecast!$E$7*(1+$A11)^$F$6:$N$6-Assumptions!$B$22*Forecast!$E$7*(1+$A11)^($F$6:$N$6-1)*$A11)/(1+DCF!$B$14)^(DCF!$B$15+$F$6:$N$6-0.5))+Forecast!$E$7*(1+$A11)^9*(1+DCF!$B$16)*E$9*(1-Forecast!$N$13)*(1-DCF!$B$16/DCF!$B$17)/(DCF!$B$14-DCF!$B$16)/(1+DCF!$B$14)^DCF!$B$27+DCF!$B$55)/Assumptions!$B$10</f>
        <v>106.044681097753</v>
      </c>
      <c r="F11" s="13" t="n">
        <f aca="false">(DCF!$E$7*DCF!$E$9+SUMPRODUCT((Forecast!$E$7*(1+$A11)^$F$6:$N$6*(Forecast!$E$8+(F$9-Forecast!$E$8)*$F$6:$N$6/9)*(1-Forecast!$F$13:$N$13)-(Forecast!$F$16:$N$16-Forecast!$F$10:$N$10)*Forecast!$E$7*(1+$A11)^$F$6:$N$6-Assumptions!$B$22*Forecast!$E$7*(1+$A11)^($F$6:$N$6-1)*$A11)/(1+DCF!$B$14)^(DCF!$B$15+$F$6:$N$6-0.5))+Forecast!$E$7*(1+$A11)^9*(1+DCF!$B$16)*F$9*(1-Forecast!$N$13)*(1-DCF!$B$16/DCF!$B$17)/(DCF!$B$14-DCF!$B$16)/(1+DCF!$B$14)^DCF!$B$27+DCF!$B$55)/Assumptions!$B$10</f>
        <v>113.166297790203</v>
      </c>
      <c r="G11" s="13" t="n">
        <f aca="false">(DCF!$E$7*DCF!$E$9+SUMPRODUCT((Forecast!$E$7*(1+$A11)^$F$6:$N$6*(Forecast!$E$8+(G$9-Forecast!$E$8)*$F$6:$N$6/9)*(1-Forecast!$F$13:$N$13)-(Forecast!$F$16:$N$16-Forecast!$F$10:$N$10)*Forecast!$E$7*(1+$A11)^$F$6:$N$6-Assumptions!$B$22*Forecast!$E$7*(1+$A11)^($F$6:$N$6-1)*$A11)/(1+DCF!$B$14)^(DCF!$B$15+$F$6:$N$6-0.5))+Forecast!$E$7*(1+$A11)^9*(1+DCF!$B$16)*G$9*(1-Forecast!$N$13)*(1-DCF!$B$16/DCF!$B$17)/(DCF!$B$14-DCF!$B$16)/(1+DCF!$B$14)^DCF!$B$27+DCF!$B$55)/Assumptions!$B$10</f>
        <v>120.287914482652</v>
      </c>
      <c r="H11" s="13" t="n">
        <f aca="false">(DCF!$E$7*DCF!$E$9+SUMPRODUCT((Forecast!$E$7*(1+$A11)^$F$6:$N$6*(Forecast!$E$8+(H$9-Forecast!$E$8)*$F$6:$N$6/9)*(1-Forecast!$F$13:$N$13)-(Forecast!$F$16:$N$16-Forecast!$F$10:$N$10)*Forecast!$E$7*(1+$A11)^$F$6:$N$6-Assumptions!$B$22*Forecast!$E$7*(1+$A11)^($F$6:$N$6-1)*$A11)/(1+DCF!$B$14)^(DCF!$B$15+$F$6:$N$6-0.5))+Forecast!$E$7*(1+$A11)^9*(1+DCF!$B$16)*H$9*(1-Forecast!$N$13)*(1-DCF!$B$16/DCF!$B$17)/(DCF!$B$14-DCF!$B$16)/(1+DCF!$B$14)^DCF!$B$27+DCF!$B$55)/Assumptions!$B$10</f>
        <v>101.771711082284</v>
      </c>
    </row>
    <row r="12" customFormat="false" ht="15" hidden="false" customHeight="false" outlineLevel="0" collapsed="false">
      <c r="A12" s="74" t="n">
        <v>0.08</v>
      </c>
      <c r="B12" s="13" t="n">
        <f aca="false">(DCF!$E$7*DCF!$E$9+SUMPRODUCT((Forecast!$E$7*(1+$A12)^$F$6:$N$6*(Forecast!$E$8+(B$9-Forecast!$E$8)*$F$6:$N$6/9)*(1-Forecast!$F$13:$N$13)-(Forecast!$F$16:$N$16-Forecast!$F$10:$N$10)*Forecast!$E$7*(1+$A12)^$F$6:$N$6-Assumptions!$B$22*Forecast!$E$7*(1+$A12)^($F$6:$N$6-1)*$A12)/(1+DCF!$B$14)^(DCF!$B$15+$F$6:$N$6-0.5))+Forecast!$E$7*(1+$A12)^9*(1+DCF!$B$16)*B$9*(1-Forecast!$N$13)*(1-DCF!$B$16/DCF!$B$17)/(DCF!$B$14-DCF!$B$16)/(1+DCF!$B$14)^DCF!$B$27+DCF!$B$55)/Assumptions!$B$10</f>
        <v>94.0746957696921</v>
      </c>
      <c r="C12" s="13" t="n">
        <f aca="false">(DCF!$E$7*DCF!$E$9+SUMPRODUCT((Forecast!$E$7*(1+$A12)^$F$6:$N$6*(Forecast!$E$8+(C$9-Forecast!$E$8)*$F$6:$N$6/9)*(1-Forecast!$F$13:$N$13)-(Forecast!$F$16:$N$16-Forecast!$F$10:$N$10)*Forecast!$E$7*(1+$A12)^$F$6:$N$6-Assumptions!$B$22*Forecast!$E$7*(1+$A12)^($F$6:$N$6-1)*$A12)/(1+DCF!$B$14)^(DCF!$B$15+$F$6:$N$6-0.5))+Forecast!$E$7*(1+$A12)^9*(1+DCF!$B$16)*C$9*(1-Forecast!$N$13)*(1-DCF!$B$16/DCF!$B$17)/(DCF!$B$14-DCF!$B$16)/(1+DCF!$B$14)^DCF!$B$27+DCF!$B$55)/Assumptions!$B$10</f>
        <v>102.346527417733</v>
      </c>
      <c r="D12" s="13" t="n">
        <f aca="false">(DCF!$E$7*DCF!$E$9+SUMPRODUCT((Forecast!$E$7*(1+$A12)^$F$6:$N$6*(Forecast!$E$8+(D$9-Forecast!$E$8)*$F$6:$N$6/9)*(1-Forecast!$F$13:$N$13)-(Forecast!$F$16:$N$16-Forecast!$F$10:$N$10)*Forecast!$E$7*(1+$A12)^$F$6:$N$6-Assumptions!$B$22*Forecast!$E$7*(1+$A12)^($F$6:$N$6-1)*$A12)/(1+DCF!$B$14)^(DCF!$B$15+$F$6:$N$6-0.5))+Forecast!$E$7*(1+$A12)^9*(1+DCF!$B$16)*D$9*(1-Forecast!$N$13)*(1-DCF!$B$16/DCF!$B$17)/(DCF!$B$14-DCF!$B$16)/(1+DCF!$B$14)^DCF!$B$27+DCF!$B$55)/Assumptions!$B$10</f>
        <v>110.618359065775</v>
      </c>
      <c r="E12" s="13" t="n">
        <f aca="false">(DCF!$E$7*DCF!$E$9+SUMPRODUCT((Forecast!$E$7*(1+$A12)^$F$6:$N$6*(Forecast!$E$8+(E$9-Forecast!$E$8)*$F$6:$N$6/9)*(1-Forecast!$F$13:$N$13)-(Forecast!$F$16:$N$16-Forecast!$F$10:$N$10)*Forecast!$E$7*(1+$A12)^$F$6:$N$6-Assumptions!$B$22*Forecast!$E$7*(1+$A12)^($F$6:$N$6-1)*$A12)/(1+DCF!$B$14)^(DCF!$B$15+$F$6:$N$6-0.5))+Forecast!$E$7*(1+$A12)^9*(1+DCF!$B$16)*E$9*(1-Forecast!$N$13)*(1-DCF!$B$16/DCF!$B$17)/(DCF!$B$14-DCF!$B$16)/(1+DCF!$B$14)^DCF!$B$27+DCF!$B$55)/Assumptions!$B$10</f>
        <v>118.890190713816</v>
      </c>
      <c r="F12" s="13" t="n">
        <f aca="false">(DCF!$E$7*DCF!$E$9+SUMPRODUCT((Forecast!$E$7*(1+$A12)^$F$6:$N$6*(Forecast!$E$8+(F$9-Forecast!$E$8)*$F$6:$N$6/9)*(1-Forecast!$F$13:$N$13)-(Forecast!$F$16:$N$16-Forecast!$F$10:$N$10)*Forecast!$E$7*(1+$A12)^$F$6:$N$6-Assumptions!$B$22*Forecast!$E$7*(1+$A12)^($F$6:$N$6-1)*$A12)/(1+DCF!$B$14)^(DCF!$B$15+$F$6:$N$6-0.5))+Forecast!$E$7*(1+$A12)^9*(1+DCF!$B$16)*F$9*(1-Forecast!$N$13)*(1-DCF!$B$16/DCF!$B$17)/(DCF!$B$14-DCF!$B$16)/(1+DCF!$B$14)^DCF!$B$27+DCF!$B$55)/Assumptions!$B$10</f>
        <v>127.162022361857</v>
      </c>
      <c r="G12" s="13" t="n">
        <f aca="false">(DCF!$E$7*DCF!$E$9+SUMPRODUCT((Forecast!$E$7*(1+$A12)^$F$6:$N$6*(Forecast!$E$8+(G$9-Forecast!$E$8)*$F$6:$N$6/9)*(1-Forecast!$F$13:$N$13)-(Forecast!$F$16:$N$16-Forecast!$F$10:$N$10)*Forecast!$E$7*(1+$A12)^$F$6:$N$6-Assumptions!$B$22*Forecast!$E$7*(1+$A12)^($F$6:$N$6-1)*$A12)/(1+DCF!$B$14)^(DCF!$B$15+$F$6:$N$6-0.5))+Forecast!$E$7*(1+$A12)^9*(1+DCF!$B$16)*G$9*(1-Forecast!$N$13)*(1-DCF!$B$16/DCF!$B$17)/(DCF!$B$14-DCF!$B$16)/(1+DCF!$B$14)^DCF!$B$27+DCF!$B$55)/Assumptions!$B$10</f>
        <v>135.433854009899</v>
      </c>
      <c r="H12" s="13" t="n">
        <f aca="false">(DCF!$E$7*DCF!$E$9+SUMPRODUCT((Forecast!$E$7*(1+$A12)^$F$6:$N$6*(Forecast!$E$8+(H$9-Forecast!$E$8)*$F$6:$N$6/9)*(1-Forecast!$F$13:$N$13)-(Forecast!$F$16:$N$16-Forecast!$F$10:$N$10)*Forecast!$E$7*(1+$A12)^$F$6:$N$6-Assumptions!$B$22*Forecast!$E$7*(1+$A12)^($F$6:$N$6-1)*$A12)/(1+DCF!$B$14)^(DCF!$B$15+$F$6:$N$6-0.5))+Forecast!$E$7*(1+$A12)^9*(1+DCF!$B$16)*H$9*(1-Forecast!$N$13)*(1-DCF!$B$16/DCF!$B$17)/(DCF!$B$14-DCF!$B$16)/(1+DCF!$B$14)^DCF!$B$27+DCF!$B$55)/Assumptions!$B$10</f>
        <v>113.927091724991</v>
      </c>
    </row>
    <row r="13" customFormat="false" ht="15" hidden="false" customHeight="false" outlineLevel="0" collapsed="false">
      <c r="A13" s="74" t="n">
        <v>0.1</v>
      </c>
      <c r="B13" s="13" t="n">
        <f aca="false">(DCF!$E$7*DCF!$E$9+SUMPRODUCT((Forecast!$E$7*(1+$A13)^$F$6:$N$6*(Forecast!$E$8+(B$9-Forecast!$E$8)*$F$6:$N$6/9)*(1-Forecast!$F$13:$N$13)-(Forecast!$F$16:$N$16-Forecast!$F$10:$N$10)*Forecast!$E$7*(1+$A13)^$F$6:$N$6-Assumptions!$B$22*Forecast!$E$7*(1+$A13)^($F$6:$N$6-1)*$A13)/(1+DCF!$B$14)^(DCF!$B$15+$F$6:$N$6-0.5))+Forecast!$E$7*(1+$A13)^9*(1+DCF!$B$16)*B$9*(1-Forecast!$N$13)*(1-DCF!$B$16/DCF!$B$17)/(DCF!$B$14-DCF!$B$16)/(1+DCF!$B$14)^DCF!$B$27+DCF!$B$55)/Assumptions!$B$10</f>
        <v>104.720445978966</v>
      </c>
      <c r="C13" s="13" t="n">
        <f aca="false">(DCF!$E$7*DCF!$E$9+SUMPRODUCT((Forecast!$E$7*(1+$A13)^$F$6:$N$6*(Forecast!$E$8+(C$9-Forecast!$E$8)*$F$6:$N$6/9)*(1-Forecast!$F$13:$N$13)-(Forecast!$F$16:$N$16-Forecast!$F$10:$N$10)*Forecast!$E$7*(1+$A13)^$F$6:$N$6-Assumptions!$B$22*Forecast!$E$7*(1+$A13)^($F$6:$N$6-1)*$A13)/(1+DCF!$B$14)^(DCF!$B$15+$F$6:$N$6-0.5))+Forecast!$E$7*(1+$A13)^9*(1+DCF!$B$16)*C$9*(1-Forecast!$N$13)*(1-DCF!$B$16/DCF!$B$17)/(DCF!$B$14-DCF!$B$16)/(1+DCF!$B$14)^DCF!$B$27+DCF!$B$55)/Assumptions!$B$10</f>
        <v>114.313406979827</v>
      </c>
      <c r="D13" s="13" t="n">
        <f aca="false">(DCF!$E$7*DCF!$E$9+SUMPRODUCT((Forecast!$E$7*(1+$A13)^$F$6:$N$6*(Forecast!$E$8+(D$9-Forecast!$E$8)*$F$6:$N$6/9)*(1-Forecast!$F$13:$N$13)-(Forecast!$F$16:$N$16-Forecast!$F$10:$N$10)*Forecast!$E$7*(1+$A13)^$F$6:$N$6-Assumptions!$B$22*Forecast!$E$7*(1+$A13)^($F$6:$N$6-1)*$A13)/(1+DCF!$B$14)^(DCF!$B$15+$F$6:$N$6-0.5))+Forecast!$E$7*(1+$A13)^9*(1+DCF!$B$16)*D$9*(1-Forecast!$N$13)*(1-DCF!$B$16/DCF!$B$17)/(DCF!$B$14-DCF!$B$16)/(1+DCF!$B$14)^DCF!$B$27+DCF!$B$55)/Assumptions!$B$10</f>
        <v>123.906367980687</v>
      </c>
      <c r="E13" s="13" t="n">
        <f aca="false">(DCF!$E$7*DCF!$E$9+SUMPRODUCT((Forecast!$E$7*(1+$A13)^$F$6:$N$6*(Forecast!$E$8+(E$9-Forecast!$E$8)*$F$6:$N$6/9)*(1-Forecast!$F$13:$N$13)-(Forecast!$F$16:$N$16-Forecast!$F$10:$N$10)*Forecast!$E$7*(1+$A13)^$F$6:$N$6-Assumptions!$B$22*Forecast!$E$7*(1+$A13)^($F$6:$N$6-1)*$A13)/(1+DCF!$B$14)^(DCF!$B$15+$F$6:$N$6-0.5))+Forecast!$E$7*(1+$A13)^9*(1+DCF!$B$16)*E$9*(1-Forecast!$N$13)*(1-DCF!$B$16/DCF!$B$17)/(DCF!$B$14-DCF!$B$16)/(1+DCF!$B$14)^DCF!$B$27+DCF!$B$55)/Assumptions!$B$10</f>
        <v>133.499328981548</v>
      </c>
      <c r="F13" s="13" t="n">
        <f aca="false">(DCF!$E$7*DCF!$E$9+SUMPRODUCT((Forecast!$E$7*(1+$A13)^$F$6:$N$6*(Forecast!$E$8+(F$9-Forecast!$E$8)*$F$6:$N$6/9)*(1-Forecast!$F$13:$N$13)-(Forecast!$F$16:$N$16-Forecast!$F$10:$N$10)*Forecast!$E$7*(1+$A13)^$F$6:$N$6-Assumptions!$B$22*Forecast!$E$7*(1+$A13)^($F$6:$N$6-1)*$A13)/(1+DCF!$B$14)^(DCF!$B$15+$F$6:$N$6-0.5))+Forecast!$E$7*(1+$A13)^9*(1+DCF!$B$16)*F$9*(1-Forecast!$N$13)*(1-DCF!$B$16/DCF!$B$17)/(DCF!$B$14-DCF!$B$16)/(1+DCF!$B$14)^DCF!$B$27+DCF!$B$55)/Assumptions!$B$10</f>
        <v>143.092289982409</v>
      </c>
      <c r="G13" s="13" t="n">
        <f aca="false">(DCF!$E$7*DCF!$E$9+SUMPRODUCT((Forecast!$E$7*(1+$A13)^$F$6:$N$6*(Forecast!$E$8+(G$9-Forecast!$E$8)*$F$6:$N$6/9)*(1-Forecast!$F$13:$N$13)-(Forecast!$F$16:$N$16-Forecast!$F$10:$N$10)*Forecast!$E$7*(1+$A13)^$F$6:$N$6-Assumptions!$B$22*Forecast!$E$7*(1+$A13)^($F$6:$N$6-1)*$A13)/(1+DCF!$B$14)^(DCF!$B$15+$F$6:$N$6-0.5))+Forecast!$E$7*(1+$A13)^9*(1+DCF!$B$16)*G$9*(1-Forecast!$N$13)*(1-DCF!$B$16/DCF!$B$17)/(DCF!$B$14-DCF!$B$16)/(1+DCF!$B$14)^DCF!$B$27+DCF!$B$55)/Assumptions!$B$10</f>
        <v>152.685250983269</v>
      </c>
      <c r="H13" s="13" t="n">
        <f aca="false">(DCF!$E$7*DCF!$E$9+SUMPRODUCT((Forecast!$E$7*(1+$A13)^$F$6:$N$6*(Forecast!$E$8+(H$9-Forecast!$E$8)*$F$6:$N$6/9)*(1-Forecast!$F$13:$N$13)-(Forecast!$F$16:$N$16-Forecast!$F$10:$N$10)*Forecast!$E$7*(1+$A13)^$F$6:$N$6-Assumptions!$B$22*Forecast!$E$7*(1+$A13)^($F$6:$N$6-1)*$A13)/(1+DCF!$B$14)^(DCF!$B$15+$F$6:$N$6-0.5))+Forecast!$E$7*(1+$A13)^9*(1+DCF!$B$16)*H$9*(1-Forecast!$N$13)*(1-DCF!$B$16/DCF!$B$17)/(DCF!$B$14-DCF!$B$16)/(1+DCF!$B$14)^DCF!$B$27+DCF!$B$55)/Assumptions!$B$10</f>
        <v>127.743552381032</v>
      </c>
    </row>
    <row r="14" customFormat="false" ht="15" hidden="false" customHeight="false" outlineLevel="0" collapsed="false">
      <c r="A14" s="74" t="n">
        <v>0.12</v>
      </c>
      <c r="B14" s="13" t="n">
        <f aca="false">(DCF!$E$7*DCF!$E$9+SUMPRODUCT((Forecast!$E$7*(1+$A14)^$F$6:$N$6*(Forecast!$E$8+(B$9-Forecast!$E$8)*$F$6:$N$6/9)*(1-Forecast!$F$13:$N$13)-(Forecast!$F$16:$N$16-Forecast!$F$10:$N$10)*Forecast!$E$7*(1+$A14)^$F$6:$N$6-Assumptions!$B$22*Forecast!$E$7*(1+$A14)^($F$6:$N$6-1)*$A14)/(1+DCF!$B$14)^(DCF!$B$15+$F$6:$N$6-0.5))+Forecast!$E$7*(1+$A14)^9*(1+DCF!$B$16)*B$9*(1-Forecast!$N$13)*(1-DCF!$B$16/DCF!$B$17)/(DCF!$B$14-DCF!$B$16)/(1+DCF!$B$14)^DCF!$B$27+DCF!$B$55)/Assumptions!$B$10</f>
        <v>116.774016848384</v>
      </c>
      <c r="C14" s="13" t="n">
        <f aca="false">(DCF!$E$7*DCF!$E$9+SUMPRODUCT((Forecast!$E$7*(1+$A14)^$F$6:$N$6*(Forecast!$E$8+(C$9-Forecast!$E$8)*$F$6:$N$6/9)*(1-Forecast!$F$13:$N$13)-(Forecast!$F$16:$N$16-Forecast!$F$10:$N$10)*Forecast!$E$7*(1+$A14)^$F$6:$N$6-Assumptions!$B$22*Forecast!$E$7*(1+$A14)^($F$6:$N$6-1)*$A14)/(1+DCF!$B$14)^(DCF!$B$15+$F$6:$N$6-0.5))+Forecast!$E$7*(1+$A14)^9*(1+DCF!$B$16)*C$9*(1-Forecast!$N$13)*(1-DCF!$B$16/DCF!$B$17)/(DCF!$B$14-DCF!$B$16)/(1+DCF!$B$14)^DCF!$B$27+DCF!$B$55)/Assumptions!$B$10</f>
        <v>127.881422367024</v>
      </c>
      <c r="D14" s="13" t="n">
        <f aca="false">(DCF!$E$7*DCF!$E$9+SUMPRODUCT((Forecast!$E$7*(1+$A14)^$F$6:$N$6*(Forecast!$E$8+(D$9-Forecast!$E$8)*$F$6:$N$6/9)*(1-Forecast!$F$13:$N$13)-(Forecast!$F$16:$N$16-Forecast!$F$10:$N$10)*Forecast!$E$7*(1+$A14)^$F$6:$N$6-Assumptions!$B$22*Forecast!$E$7*(1+$A14)^($F$6:$N$6-1)*$A14)/(1+DCF!$B$14)^(DCF!$B$15+$F$6:$N$6-0.5))+Forecast!$E$7*(1+$A14)^9*(1+DCF!$B$16)*D$9*(1-Forecast!$N$13)*(1-DCF!$B$16/DCF!$B$17)/(DCF!$B$14-DCF!$B$16)/(1+DCF!$B$14)^DCF!$B$27+DCF!$B$55)/Assumptions!$B$10</f>
        <v>138.988827885665</v>
      </c>
      <c r="E14" s="13" t="n">
        <f aca="false">(DCF!$E$7*DCF!$E$9+SUMPRODUCT((Forecast!$E$7*(1+$A14)^$F$6:$N$6*(Forecast!$E$8+(E$9-Forecast!$E$8)*$F$6:$N$6/9)*(1-Forecast!$F$13:$N$13)-(Forecast!$F$16:$N$16-Forecast!$F$10:$N$10)*Forecast!$E$7*(1+$A14)^$F$6:$N$6-Assumptions!$B$22*Forecast!$E$7*(1+$A14)^($F$6:$N$6-1)*$A14)/(1+DCF!$B$14)^(DCF!$B$15+$F$6:$N$6-0.5))+Forecast!$E$7*(1+$A14)^9*(1+DCF!$B$16)*E$9*(1-Forecast!$N$13)*(1-DCF!$B$16/DCF!$B$17)/(DCF!$B$14-DCF!$B$16)/(1+DCF!$B$14)^DCF!$B$27+DCF!$B$55)/Assumptions!$B$10</f>
        <v>150.096233404306</v>
      </c>
      <c r="F14" s="13" t="n">
        <f aca="false">(DCF!$E$7*DCF!$E$9+SUMPRODUCT((Forecast!$E$7*(1+$A14)^$F$6:$N$6*(Forecast!$E$8+(F$9-Forecast!$E$8)*$F$6:$N$6/9)*(1-Forecast!$F$13:$N$13)-(Forecast!$F$16:$N$16-Forecast!$F$10:$N$10)*Forecast!$E$7*(1+$A14)^$F$6:$N$6-Assumptions!$B$22*Forecast!$E$7*(1+$A14)^($F$6:$N$6-1)*$A14)/(1+DCF!$B$14)^(DCF!$B$15+$F$6:$N$6-0.5))+Forecast!$E$7*(1+$A14)^9*(1+DCF!$B$16)*F$9*(1-Forecast!$N$13)*(1-DCF!$B$16/DCF!$B$17)/(DCF!$B$14-DCF!$B$16)/(1+DCF!$B$14)^DCF!$B$27+DCF!$B$55)/Assumptions!$B$10</f>
        <v>161.203638922946</v>
      </c>
      <c r="G14" s="13" t="n">
        <f aca="false">(DCF!$E$7*DCF!$E$9+SUMPRODUCT((Forecast!$E$7*(1+$A14)^$F$6:$N$6*(Forecast!$E$8+(G$9-Forecast!$E$8)*$F$6:$N$6/9)*(1-Forecast!$F$13:$N$13)-(Forecast!$F$16:$N$16-Forecast!$F$10:$N$10)*Forecast!$E$7*(1+$A14)^$F$6:$N$6-Assumptions!$B$22*Forecast!$E$7*(1+$A14)^($F$6:$N$6-1)*$A14)/(1+DCF!$B$14)^(DCF!$B$15+$F$6:$N$6-0.5))+Forecast!$E$7*(1+$A14)^9*(1+DCF!$B$16)*G$9*(1-Forecast!$N$13)*(1-DCF!$B$16/DCF!$B$17)/(DCF!$B$14-DCF!$B$16)/(1+DCF!$B$14)^DCF!$B$27+DCF!$B$55)/Assumptions!$B$10</f>
        <v>172.311044441587</v>
      </c>
      <c r="H14" s="13" t="n">
        <f aca="false">(DCF!$E$7*DCF!$E$9+SUMPRODUCT((Forecast!$E$7*(1+$A14)^$F$6:$N$6*(Forecast!$E$8+(H$9-Forecast!$E$8)*$F$6:$N$6/9)*(1-Forecast!$F$13:$N$13)-(Forecast!$F$16:$N$16-Forecast!$F$10:$N$10)*Forecast!$E$7*(1+$A14)^$F$6:$N$6-Assumptions!$B$22*Forecast!$E$7*(1+$A14)^($F$6:$N$6-1)*$A14)/(1+DCF!$B$14)^(DCF!$B$15+$F$6:$N$6-0.5))+Forecast!$E$7*(1+$A14)^9*(1+DCF!$B$16)*H$9*(1-Forecast!$N$13)*(1-DCF!$B$16/DCF!$B$17)/(DCF!$B$14-DCF!$B$16)/(1+DCF!$B$14)^DCF!$B$27+DCF!$B$55)/Assumptions!$B$10</f>
        <v>143.431790093121</v>
      </c>
    </row>
    <row r="15" customFormat="false" ht="15" hidden="false" customHeight="false" outlineLevel="0" collapsed="false">
      <c r="A15" s="74" t="n">
        <v>0.14</v>
      </c>
      <c r="B15" s="13" t="n">
        <f aca="false">(DCF!$E$7*DCF!$E$9+SUMPRODUCT((Forecast!$E$7*(1+$A15)^$F$6:$N$6*(Forecast!$E$8+(B$9-Forecast!$E$8)*$F$6:$N$6/9)*(1-Forecast!$F$13:$N$13)-(Forecast!$F$16:$N$16-Forecast!$F$10:$N$10)*Forecast!$E$7*(1+$A15)^$F$6:$N$6-Assumptions!$B$22*Forecast!$E$7*(1+$A15)^($F$6:$N$6-1)*$A15)/(1+DCF!$B$14)^(DCF!$B$15+$F$6:$N$6-0.5))+Forecast!$E$7*(1+$A15)^9*(1+DCF!$B$16)*B$9*(1-Forecast!$N$13)*(1-DCF!$B$16/DCF!$B$17)/(DCF!$B$14-DCF!$B$16)/(1+DCF!$B$14)^DCF!$B$27+DCF!$B$55)/Assumptions!$B$10</f>
        <v>130.4095337466</v>
      </c>
      <c r="C15" s="13" t="n">
        <f aca="false">(DCF!$E$7*DCF!$E$9+SUMPRODUCT((Forecast!$E$7*(1+$A15)^$F$6:$N$6*(Forecast!$E$8+(C$9-Forecast!$E$8)*$F$6:$N$6/9)*(1-Forecast!$F$13:$N$13)-(Forecast!$F$16:$N$16-Forecast!$F$10:$N$10)*Forecast!$E$7*(1+$A15)^$F$6:$N$6-Assumptions!$B$22*Forecast!$E$7*(1+$A15)^($F$6:$N$6-1)*$A15)/(1+DCF!$B$14)^(DCF!$B$15+$F$6:$N$6-0.5))+Forecast!$E$7*(1+$A15)^9*(1+DCF!$B$16)*C$9*(1-Forecast!$N$13)*(1-DCF!$B$16/DCF!$B$17)/(DCF!$B$14-DCF!$B$16)/(1+DCF!$B$14)^DCF!$B$27+DCF!$B$55)/Assumptions!$B$10</f>
        <v>143.249604893328</v>
      </c>
      <c r="D15" s="13" t="n">
        <f aca="false">(DCF!$E$7*DCF!$E$9+SUMPRODUCT((Forecast!$E$7*(1+$A15)^$F$6:$N$6*(Forecast!$E$8+(D$9-Forecast!$E$8)*$F$6:$N$6/9)*(1-Forecast!$F$13:$N$13)-(Forecast!$F$16:$N$16-Forecast!$F$10:$N$10)*Forecast!$E$7*(1+$A15)^$F$6:$N$6-Assumptions!$B$22*Forecast!$E$7*(1+$A15)^($F$6:$N$6-1)*$A15)/(1+DCF!$B$14)^(DCF!$B$15+$F$6:$N$6-0.5))+Forecast!$E$7*(1+$A15)^9*(1+DCF!$B$16)*D$9*(1-Forecast!$N$13)*(1-DCF!$B$16/DCF!$B$17)/(DCF!$B$14-DCF!$B$16)/(1+DCF!$B$14)^DCF!$B$27+DCF!$B$55)/Assumptions!$B$10</f>
        <v>156.089676040057</v>
      </c>
      <c r="E15" s="13" t="n">
        <f aca="false">(DCF!$E$7*DCF!$E$9+SUMPRODUCT((Forecast!$E$7*(1+$A15)^$F$6:$N$6*(Forecast!$E$8+(E$9-Forecast!$E$8)*$F$6:$N$6/9)*(1-Forecast!$F$13:$N$13)-(Forecast!$F$16:$N$16-Forecast!$F$10:$N$10)*Forecast!$E$7*(1+$A15)^$F$6:$N$6-Assumptions!$B$22*Forecast!$E$7*(1+$A15)^($F$6:$N$6-1)*$A15)/(1+DCF!$B$14)^(DCF!$B$15+$F$6:$N$6-0.5))+Forecast!$E$7*(1+$A15)^9*(1+DCF!$B$16)*E$9*(1-Forecast!$N$13)*(1-DCF!$B$16/DCF!$B$17)/(DCF!$B$14-DCF!$B$16)/(1+DCF!$B$14)^DCF!$B$27+DCF!$B$55)/Assumptions!$B$10</f>
        <v>168.929747186785</v>
      </c>
      <c r="F15" s="13" t="n">
        <f aca="false">(DCF!$E$7*DCF!$E$9+SUMPRODUCT((Forecast!$E$7*(1+$A15)^$F$6:$N$6*(Forecast!$E$8+(F$9-Forecast!$E$8)*$F$6:$N$6/9)*(1-Forecast!$F$13:$N$13)-(Forecast!$F$16:$N$16-Forecast!$F$10:$N$10)*Forecast!$E$7*(1+$A15)^$F$6:$N$6-Assumptions!$B$22*Forecast!$E$7*(1+$A15)^($F$6:$N$6-1)*$A15)/(1+DCF!$B$14)^(DCF!$B$15+$F$6:$N$6-0.5))+Forecast!$E$7*(1+$A15)^9*(1+DCF!$B$16)*F$9*(1-Forecast!$N$13)*(1-DCF!$B$16/DCF!$B$17)/(DCF!$B$14-DCF!$B$16)/(1+DCF!$B$14)^DCF!$B$27+DCF!$B$55)/Assumptions!$B$10</f>
        <v>181.769818333514</v>
      </c>
      <c r="G15" s="13" t="n">
        <f aca="false">(DCF!$E$7*DCF!$E$9+SUMPRODUCT((Forecast!$E$7*(1+$A15)^$F$6:$N$6*(Forecast!$E$8+(G$9-Forecast!$E$8)*$F$6:$N$6/9)*(1-Forecast!$F$13:$N$13)-(Forecast!$F$16:$N$16-Forecast!$F$10:$N$10)*Forecast!$E$7*(1+$A15)^$F$6:$N$6-Assumptions!$B$22*Forecast!$E$7*(1+$A15)^($F$6:$N$6-1)*$A15)/(1+DCF!$B$14)^(DCF!$B$15+$F$6:$N$6-0.5))+Forecast!$E$7*(1+$A15)^9*(1+DCF!$B$16)*G$9*(1-Forecast!$N$13)*(1-DCF!$B$16/DCF!$B$17)/(DCF!$B$14-DCF!$B$16)/(1+DCF!$B$14)^DCF!$B$27+DCF!$B$55)/Assumptions!$B$10</f>
        <v>194.609889480242</v>
      </c>
      <c r="H15" s="13" t="n">
        <f aca="false">(DCF!$E$7*DCF!$E$9+SUMPRODUCT((Forecast!$E$7*(1+$A15)^$F$6:$N$6*(Forecast!$E$8+(H$9-Forecast!$E$8)*$F$6:$N$6/9)*(1-Forecast!$F$13:$N$13)-(Forecast!$F$16:$N$16-Forecast!$F$10:$N$10)*Forecast!$E$7*(1+$A15)^$F$6:$N$6-Assumptions!$B$22*Forecast!$E$7*(1+$A15)^($F$6:$N$6-1)*$A15)/(1+DCF!$B$14)^(DCF!$B$15+$F$6:$N$6-0.5))+Forecast!$E$7*(1+$A15)^9*(1+DCF!$B$16)*H$9*(1-Forecast!$N$13)*(1-DCF!$B$16/DCF!$B$17)/(DCF!$B$14-DCF!$B$16)/(1+DCF!$B$14)^DCF!$B$27+DCF!$B$55)/Assumptions!$B$10</f>
        <v>161.225704498748</v>
      </c>
    </row>
    <row r="16" customFormat="false" ht="15" hidden="false" customHeight="false" outlineLevel="0" collapsed="false">
      <c r="A16" s="74" t="n">
        <v>0.16</v>
      </c>
      <c r="B16" s="13" t="n">
        <f aca="false">(DCF!$E$7*DCF!$E$9+SUMPRODUCT((Forecast!$E$7*(1+$A16)^$F$6:$N$6*(Forecast!$E$8+(B$9-Forecast!$E$8)*$F$6:$N$6/9)*(1-Forecast!$F$13:$N$13)-(Forecast!$F$16:$N$16-Forecast!$F$10:$N$10)*Forecast!$E$7*(1+$A16)^$F$6:$N$6-Assumptions!$B$22*Forecast!$E$7*(1+$A16)^($F$6:$N$6-1)*$A16)/(1+DCF!$B$14)^(DCF!$B$15+$F$6:$N$6-0.5))+Forecast!$E$7*(1+$A16)^9*(1+DCF!$B$16)*B$9*(1-Forecast!$N$13)*(1-DCF!$B$16/DCF!$B$17)/(DCF!$B$14-DCF!$B$16)/(1+DCF!$B$14)^DCF!$B$27+DCF!$B$55)/Assumptions!$B$10</f>
        <v>145.819880476274</v>
      </c>
      <c r="C16" s="13" t="n">
        <f aca="false">(DCF!$E$7*DCF!$E$9+SUMPRODUCT((Forecast!$E$7*(1+$A16)^$F$6:$N$6*(Forecast!$E$8+(C$9-Forecast!$E$8)*$F$6:$N$6/9)*(1-Forecast!$F$13:$N$13)-(Forecast!$F$16:$N$16-Forecast!$F$10:$N$10)*Forecast!$E$7*(1+$A16)^$F$6:$N$6-Assumptions!$B$22*Forecast!$E$7*(1+$A16)^($F$6:$N$6-1)*$A16)/(1+DCF!$B$14)^(DCF!$B$15+$F$6:$N$6-0.5))+Forecast!$E$7*(1+$A16)^9*(1+DCF!$B$16)*C$9*(1-Forecast!$N$13)*(1-DCF!$B$16/DCF!$B$17)/(DCF!$B$14-DCF!$B$16)/(1+DCF!$B$14)^DCF!$B$27+DCF!$B$55)/Assumptions!$B$10</f>
        <v>160.638480577741</v>
      </c>
      <c r="D16" s="13" t="n">
        <f aca="false">(DCF!$E$7*DCF!$E$9+SUMPRODUCT((Forecast!$E$7*(1+$A16)^$F$6:$N$6*(Forecast!$E$8+(D$9-Forecast!$E$8)*$F$6:$N$6/9)*(1-Forecast!$F$13:$N$13)-(Forecast!$F$16:$N$16-Forecast!$F$10:$N$10)*Forecast!$E$7*(1+$A16)^$F$6:$N$6-Assumptions!$B$22*Forecast!$E$7*(1+$A16)^($F$6:$N$6-1)*$A16)/(1+DCF!$B$14)^(DCF!$B$15+$F$6:$N$6-0.5))+Forecast!$E$7*(1+$A16)^9*(1+DCF!$B$16)*D$9*(1-Forecast!$N$13)*(1-DCF!$B$16/DCF!$B$17)/(DCF!$B$14-DCF!$B$16)/(1+DCF!$B$14)^DCF!$B$27+DCF!$B$55)/Assumptions!$B$10</f>
        <v>175.457080679209</v>
      </c>
      <c r="E16" s="13" t="n">
        <f aca="false">(DCF!$E$7*DCF!$E$9+SUMPRODUCT((Forecast!$E$7*(1+$A16)^$F$6:$N$6*(Forecast!$E$8+(E$9-Forecast!$E$8)*$F$6:$N$6/9)*(1-Forecast!$F$13:$N$13)-(Forecast!$F$16:$N$16-Forecast!$F$10:$N$10)*Forecast!$E$7*(1+$A16)^$F$6:$N$6-Assumptions!$B$22*Forecast!$E$7*(1+$A16)^($F$6:$N$6-1)*$A16)/(1+DCF!$B$14)^(DCF!$B$15+$F$6:$N$6-0.5))+Forecast!$E$7*(1+$A16)^9*(1+DCF!$B$16)*E$9*(1-Forecast!$N$13)*(1-DCF!$B$16/DCF!$B$17)/(DCF!$B$14-DCF!$B$16)/(1+DCF!$B$14)^DCF!$B$27+DCF!$B$55)/Assumptions!$B$10</f>
        <v>190.275680780677</v>
      </c>
      <c r="F16" s="13" t="n">
        <f aca="false">(DCF!$E$7*DCF!$E$9+SUMPRODUCT((Forecast!$E$7*(1+$A16)^$F$6:$N$6*(Forecast!$E$8+(F$9-Forecast!$E$8)*$F$6:$N$6/9)*(1-Forecast!$F$13:$N$13)-(Forecast!$F$16:$N$16-Forecast!$F$10:$N$10)*Forecast!$E$7*(1+$A16)^$F$6:$N$6-Assumptions!$B$22*Forecast!$E$7*(1+$A16)^($F$6:$N$6-1)*$A16)/(1+DCF!$B$14)^(DCF!$B$15+$F$6:$N$6-0.5))+Forecast!$E$7*(1+$A16)^9*(1+DCF!$B$16)*F$9*(1-Forecast!$N$13)*(1-DCF!$B$16/DCF!$B$17)/(DCF!$B$14-DCF!$B$16)/(1+DCF!$B$14)^DCF!$B$27+DCF!$B$55)/Assumptions!$B$10</f>
        <v>205.094280882144</v>
      </c>
      <c r="G16" s="13" t="n">
        <f aca="false">(DCF!$E$7*DCF!$E$9+SUMPRODUCT((Forecast!$E$7*(1+$A16)^$F$6:$N$6*(Forecast!$E$8+(G$9-Forecast!$E$8)*$F$6:$N$6/9)*(1-Forecast!$F$13:$N$13)-(Forecast!$F$16:$N$16-Forecast!$F$10:$N$10)*Forecast!$E$7*(1+$A16)^$F$6:$N$6-Assumptions!$B$22*Forecast!$E$7*(1+$A16)^($F$6:$N$6-1)*$A16)/(1+DCF!$B$14)^(DCF!$B$15+$F$6:$N$6-0.5))+Forecast!$E$7*(1+$A16)^9*(1+DCF!$B$16)*G$9*(1-Forecast!$N$13)*(1-DCF!$B$16/DCF!$B$17)/(DCF!$B$14-DCF!$B$16)/(1+DCF!$B$14)^DCF!$B$27+DCF!$B$55)/Assumptions!$B$10</f>
        <v>219.912880983612</v>
      </c>
      <c r="H16" s="13" t="n">
        <f aca="false">(DCF!$E$7*DCF!$E$9+SUMPRODUCT((Forecast!$E$7*(1+$A16)^$F$6:$N$6*(Forecast!$E$8+(H$9-Forecast!$E$8)*$F$6:$N$6/9)*(1-Forecast!$F$13:$N$13)-(Forecast!$F$16:$N$16-Forecast!$F$10:$N$10)*Forecast!$E$7*(1+$A16)^$F$6:$N$6-Assumptions!$B$22*Forecast!$E$7*(1+$A16)^($F$6:$N$6-1)*$A16)/(1+DCF!$B$14)^(DCF!$B$15+$F$6:$N$6-0.5))+Forecast!$E$7*(1+$A16)^9*(1+DCF!$B$16)*H$9*(1-Forecast!$N$13)*(1-DCF!$B$16/DCF!$B$17)/(DCF!$B$14-DCF!$B$16)/(1+DCF!$B$14)^DCF!$B$27+DCF!$B$55)/Assumptions!$B$10</f>
        <v>181.384520719796</v>
      </c>
    </row>
    <row r="17" customFormat="false" ht="15" hidden="false" customHeight="false" outlineLevel="0" collapsed="false">
      <c r="A17" s="74" t="n">
        <v>0.18</v>
      </c>
      <c r="B17" s="13" t="n">
        <f aca="false">(DCF!$E$7*DCF!$E$9+SUMPRODUCT((Forecast!$E$7*(1+$A17)^$F$6:$N$6*(Forecast!$E$8+(B$9-Forecast!$E$8)*$F$6:$N$6/9)*(1-Forecast!$F$13:$N$13)-(Forecast!$F$16:$N$16-Forecast!$F$10:$N$10)*Forecast!$E$7*(1+$A17)^$F$6:$N$6-Assumptions!$B$22*Forecast!$E$7*(1+$A17)^($F$6:$N$6-1)*$A17)/(1+DCF!$B$14)^(DCF!$B$15+$F$6:$N$6-0.5))+Forecast!$E$7*(1+$A17)^9*(1+DCF!$B$16)*B$9*(1-Forecast!$N$13)*(1-DCF!$B$16/DCF!$B$17)/(DCF!$B$14-DCF!$B$16)/(1+DCF!$B$14)^DCF!$B$27+DCF!$B$55)/Assumptions!$B$10</f>
        <v>163.218381044063</v>
      </c>
      <c r="C17" s="13" t="n">
        <f aca="false">(DCF!$E$7*DCF!$E$9+SUMPRODUCT((Forecast!$E$7*(1+$A17)^$F$6:$N$6*(Forecast!$E$8+(C$9-Forecast!$E$8)*$F$6:$N$6/9)*(1-Forecast!$F$13:$N$13)-(Forecast!$F$16:$N$16-Forecast!$F$10:$N$10)*Forecast!$E$7*(1+$A17)^$F$6:$N$6-Assumptions!$B$22*Forecast!$E$7*(1+$A17)^($F$6:$N$6-1)*$A17)/(1+DCF!$B$14)^(DCF!$B$15+$F$6:$N$6-0.5))+Forecast!$E$7*(1+$A17)^9*(1+DCF!$B$16)*C$9*(1-Forecast!$N$13)*(1-DCF!$B$16/DCF!$B$17)/(DCF!$B$14-DCF!$B$16)/(1+DCF!$B$14)^DCF!$B$27+DCF!$B$55)/Assumptions!$B$10</f>
        <v>180.29199984066</v>
      </c>
      <c r="D17" s="13" t="n">
        <f aca="false">(DCF!$E$7*DCF!$E$9+SUMPRODUCT((Forecast!$E$7*(1+$A17)^$F$6:$N$6*(Forecast!$E$8+(D$9-Forecast!$E$8)*$F$6:$N$6/9)*(1-Forecast!$F$13:$N$13)-(Forecast!$F$16:$N$16-Forecast!$F$10:$N$10)*Forecast!$E$7*(1+$A17)^$F$6:$N$6-Assumptions!$B$22*Forecast!$E$7*(1+$A17)^($F$6:$N$6-1)*$A17)/(1+DCF!$B$14)^(DCF!$B$15+$F$6:$N$6-0.5))+Forecast!$E$7*(1+$A17)^9*(1+DCF!$B$16)*D$9*(1-Forecast!$N$13)*(1-DCF!$B$16/DCF!$B$17)/(DCF!$B$14-DCF!$B$16)/(1+DCF!$B$14)^DCF!$B$27+DCF!$B$55)/Assumptions!$B$10</f>
        <v>197.365618637258</v>
      </c>
      <c r="E17" s="13" t="n">
        <f aca="false">(DCF!$E$7*DCF!$E$9+SUMPRODUCT((Forecast!$E$7*(1+$A17)^$F$6:$N$6*(Forecast!$E$8+(E$9-Forecast!$E$8)*$F$6:$N$6/9)*(1-Forecast!$F$13:$N$13)-(Forecast!$F$16:$N$16-Forecast!$F$10:$N$10)*Forecast!$E$7*(1+$A17)^$F$6:$N$6-Assumptions!$B$22*Forecast!$E$7*(1+$A17)^($F$6:$N$6-1)*$A17)/(1+DCF!$B$14)^(DCF!$B$15+$F$6:$N$6-0.5))+Forecast!$E$7*(1+$A17)^9*(1+DCF!$B$16)*E$9*(1-Forecast!$N$13)*(1-DCF!$B$16/DCF!$B$17)/(DCF!$B$14-DCF!$B$16)/(1+DCF!$B$14)^DCF!$B$27+DCF!$B$55)/Assumptions!$B$10</f>
        <v>214.439237433855</v>
      </c>
      <c r="F17" s="13" t="n">
        <f aca="false">(DCF!$E$7*DCF!$E$9+SUMPRODUCT((Forecast!$E$7*(1+$A17)^$F$6:$N$6*(Forecast!$E$8+(F$9-Forecast!$E$8)*$F$6:$N$6/9)*(1-Forecast!$F$13:$N$13)-(Forecast!$F$16:$N$16-Forecast!$F$10:$N$10)*Forecast!$E$7*(1+$A17)^$F$6:$N$6-Assumptions!$B$22*Forecast!$E$7*(1+$A17)^($F$6:$N$6-1)*$A17)/(1+DCF!$B$14)^(DCF!$B$15+$F$6:$N$6-0.5))+Forecast!$E$7*(1+$A17)^9*(1+DCF!$B$16)*F$9*(1-Forecast!$N$13)*(1-DCF!$B$16/DCF!$B$17)/(DCF!$B$14-DCF!$B$16)/(1+DCF!$B$14)^DCF!$B$27+DCF!$B$55)/Assumptions!$B$10</f>
        <v>231.512856230452</v>
      </c>
      <c r="G17" s="13" t="n">
        <f aca="false">(DCF!$E$7*DCF!$E$9+SUMPRODUCT((Forecast!$E$7*(1+$A17)^$F$6:$N$6*(Forecast!$E$8+(G$9-Forecast!$E$8)*$F$6:$N$6/9)*(1-Forecast!$F$13:$N$13)-(Forecast!$F$16:$N$16-Forecast!$F$10:$N$10)*Forecast!$E$7*(1+$A17)^$F$6:$N$6-Assumptions!$B$22*Forecast!$E$7*(1+$A17)^($F$6:$N$6-1)*$A17)/(1+DCF!$B$14)^(DCF!$B$15+$F$6:$N$6-0.5))+Forecast!$E$7*(1+$A17)^9*(1+DCF!$B$16)*G$9*(1-Forecast!$N$13)*(1-DCF!$B$16/DCF!$B$17)/(DCF!$B$14-DCF!$B$16)/(1+DCF!$B$14)^DCF!$B$27+DCF!$B$55)/Assumptions!$B$10</f>
        <v>248.586475027049</v>
      </c>
      <c r="H17" s="13" t="n">
        <f aca="false">(DCF!$E$7*DCF!$E$9+SUMPRODUCT((Forecast!$E$7*(1+$A17)^$F$6:$N$6*(Forecast!$E$8+(H$9-Forecast!$E$8)*$F$6:$N$6/9)*(1-Forecast!$F$13:$N$13)-(Forecast!$F$16:$N$16-Forecast!$F$10:$N$10)*Forecast!$E$7*(1+$A17)^$F$6:$N$6-Assumptions!$B$22*Forecast!$E$7*(1+$A17)^($F$6:$N$6-1)*$A17)/(1+DCF!$B$14)^(DCF!$B$15+$F$6:$N$6-0.5))+Forecast!$E$7*(1+$A17)^9*(1+DCF!$B$16)*H$9*(1-Forecast!$N$13)*(1-DCF!$B$16/DCF!$B$17)/(DCF!$B$14-DCF!$B$16)/(1+DCF!$B$14)^DCF!$B$27+DCF!$B$55)/Assumptions!$B$10</f>
        <v>204.195066155896</v>
      </c>
    </row>
    <row r="18" customFormat="false" ht="15" hidden="false" customHeight="false" outlineLevel="0" collapsed="false">
      <c r="A18" s="74" t="n">
        <v>0.2</v>
      </c>
      <c r="B18" s="13" t="n">
        <f aca="false">(DCF!$E$7*DCF!$E$9+SUMPRODUCT((Forecast!$E$7*(1+$A18)^$F$6:$N$6*(Forecast!$E$8+(B$9-Forecast!$E$8)*$F$6:$N$6/9)*(1-Forecast!$F$13:$N$13)-(Forecast!$F$16:$N$16-Forecast!$F$10:$N$10)*Forecast!$E$7*(1+$A18)^$F$6:$N$6-Assumptions!$B$22*Forecast!$E$7*(1+$A18)^($F$6:$N$6-1)*$A18)/(1+DCF!$B$14)^(DCF!$B$15+$F$6:$N$6-0.5))+Forecast!$E$7*(1+$A18)^9*(1+DCF!$B$16)*B$9*(1-Forecast!$N$13)*(1-DCF!$B$16/DCF!$B$17)/(DCF!$B$14-DCF!$B$16)/(1+DCF!$B$14)^DCF!$B$27+DCF!$B$55)/Assumptions!$B$10</f>
        <v>182.840601022799</v>
      </c>
      <c r="C18" s="13" t="n">
        <f aca="false">(DCF!$E$7*DCF!$E$9+SUMPRODUCT((Forecast!$E$7*(1+$A18)^$F$6:$N$6*(Forecast!$E$8+(C$9-Forecast!$E$8)*$F$6:$N$6/9)*(1-Forecast!$F$13:$N$13)-(Forecast!$F$16:$N$16-Forecast!$F$10:$N$10)*Forecast!$E$7*(1+$A18)^$F$6:$N$6-Assumptions!$B$22*Forecast!$E$7*(1+$A18)^($F$6:$N$6-1)*$A18)/(1+DCF!$B$14)^(DCF!$B$15+$F$6:$N$6-0.5))+Forecast!$E$7*(1+$A18)^9*(1+DCF!$B$16)*C$9*(1-Forecast!$N$13)*(1-DCF!$B$16/DCF!$B$17)/(DCF!$B$14-DCF!$B$16)/(1+DCF!$B$14)^DCF!$B$27+DCF!$B$55)/Assumptions!$B$10</f>
        <v>202.479604531838</v>
      </c>
      <c r="D18" s="13" t="n">
        <f aca="false">(DCF!$E$7*DCF!$E$9+SUMPRODUCT((Forecast!$E$7*(1+$A18)^$F$6:$N$6*(Forecast!$E$8+(D$9-Forecast!$E$8)*$F$6:$N$6/9)*(1-Forecast!$F$13:$N$13)-(Forecast!$F$16:$N$16-Forecast!$F$10:$N$10)*Forecast!$E$7*(1+$A18)^$F$6:$N$6-Assumptions!$B$22*Forecast!$E$7*(1+$A18)^($F$6:$N$6-1)*$A18)/(1+DCF!$B$14)^(DCF!$B$15+$F$6:$N$6-0.5))+Forecast!$E$7*(1+$A18)^9*(1+DCF!$B$16)*D$9*(1-Forecast!$N$13)*(1-DCF!$B$16/DCF!$B$17)/(DCF!$B$14-DCF!$B$16)/(1+DCF!$B$14)^DCF!$B$27+DCF!$B$55)/Assumptions!$B$10</f>
        <v>222.118608040878</v>
      </c>
      <c r="E18" s="13" t="n">
        <f aca="false">(DCF!$E$7*DCF!$E$9+SUMPRODUCT((Forecast!$E$7*(1+$A18)^$F$6:$N$6*(Forecast!$E$8+(E$9-Forecast!$E$8)*$F$6:$N$6/9)*(1-Forecast!$F$13:$N$13)-(Forecast!$F$16:$N$16-Forecast!$F$10:$N$10)*Forecast!$E$7*(1+$A18)^$F$6:$N$6-Assumptions!$B$22*Forecast!$E$7*(1+$A18)^($F$6:$N$6-1)*$A18)/(1+DCF!$B$14)^(DCF!$B$15+$F$6:$N$6-0.5))+Forecast!$E$7*(1+$A18)^9*(1+DCF!$B$16)*E$9*(1-Forecast!$N$13)*(1-DCF!$B$16/DCF!$B$17)/(DCF!$B$14-DCF!$B$16)/(1+DCF!$B$14)^DCF!$B$27+DCF!$B$55)/Assumptions!$B$10</f>
        <v>241.757611549917</v>
      </c>
      <c r="F18" s="13" t="n">
        <f aca="false">(DCF!$E$7*DCF!$E$9+SUMPRODUCT((Forecast!$E$7*(1+$A18)^$F$6:$N$6*(Forecast!$E$8+(F$9-Forecast!$E$8)*$F$6:$N$6/9)*(1-Forecast!$F$13:$N$13)-(Forecast!$F$16:$N$16-Forecast!$F$10:$N$10)*Forecast!$E$7*(1+$A18)^$F$6:$N$6-Assumptions!$B$22*Forecast!$E$7*(1+$A18)^($F$6:$N$6-1)*$A18)/(1+DCF!$B$14)^(DCF!$B$15+$F$6:$N$6-0.5))+Forecast!$E$7*(1+$A18)^9*(1+DCF!$B$16)*F$9*(1-Forecast!$N$13)*(1-DCF!$B$16/DCF!$B$17)/(DCF!$B$14-DCF!$B$16)/(1+DCF!$B$14)^DCF!$B$27+DCF!$B$55)/Assumptions!$B$10</f>
        <v>261.396615058956</v>
      </c>
      <c r="G18" s="13" t="n">
        <f aca="false">(DCF!$E$7*DCF!$E$9+SUMPRODUCT((Forecast!$E$7*(1+$A18)^$F$6:$N$6*(Forecast!$E$8+(G$9-Forecast!$E$8)*$F$6:$N$6/9)*(1-Forecast!$F$13:$N$13)-(Forecast!$F$16:$N$16-Forecast!$F$10:$N$10)*Forecast!$E$7*(1+$A18)^$F$6:$N$6-Assumptions!$B$22*Forecast!$E$7*(1+$A18)^($F$6:$N$6-1)*$A18)/(1+DCF!$B$14)^(DCF!$B$15+$F$6:$N$6-0.5))+Forecast!$E$7*(1+$A18)^9*(1+DCF!$B$16)*G$9*(1-Forecast!$N$13)*(1-DCF!$B$16/DCF!$B$17)/(DCF!$B$14-DCF!$B$16)/(1+DCF!$B$14)^DCF!$B$27+DCF!$B$55)/Assumptions!$B$10</f>
        <v>281.035618567995</v>
      </c>
      <c r="H18" s="13" t="n">
        <f aca="false">(DCF!$E$7*DCF!$E$9+SUMPRODUCT((Forecast!$E$7*(1+$A18)^$F$6:$N$6*(Forecast!$E$8+(H$9-Forecast!$E$8)*$F$6:$N$6/9)*(1-Forecast!$F$13:$N$13)-(Forecast!$F$16:$N$16-Forecast!$F$10:$N$10)*Forecast!$E$7*(1+$A18)^$F$6:$N$6-Assumptions!$B$22*Forecast!$E$7*(1+$A18)^($F$6:$N$6-1)*$A18)/(1+DCF!$B$14)^(DCF!$B$15+$F$6:$N$6-0.5))+Forecast!$E$7*(1+$A18)^9*(1+DCF!$B$16)*H$9*(1-Forecast!$N$13)*(1-DCF!$B$16/DCF!$B$17)/(DCF!$B$14-DCF!$B$16)/(1+DCF!$B$14)^DCF!$B$27+DCF!$B$55)/Assumptions!$B$10</f>
        <v>229.974209444493</v>
      </c>
    </row>
    <row r="19" customFormat="false" ht="15" hidden="false" customHeight="false" outlineLevel="0" collapsed="false">
      <c r="A19" s="74" t="n">
        <v>0.22</v>
      </c>
      <c r="B19" s="13" t="n">
        <f aca="false">(DCF!$E$7*DCF!$E$9+SUMPRODUCT((Forecast!$E$7*(1+$A19)^$F$6:$N$6*(Forecast!$E$8+(B$9-Forecast!$E$8)*$F$6:$N$6/9)*(1-Forecast!$F$13:$N$13)-(Forecast!$F$16:$N$16-Forecast!$F$10:$N$10)*Forecast!$E$7*(1+$A19)^$F$6:$N$6-Assumptions!$B$22*Forecast!$E$7*(1+$A19)^($F$6:$N$6-1)*$A19)/(1+DCF!$B$14)^(DCF!$B$15+$F$6:$N$6-0.5))+Forecast!$E$7*(1+$A19)^9*(1+DCF!$B$16)*B$9*(1-Forecast!$N$13)*(1-DCF!$B$16/DCF!$B$17)/(DCF!$B$14-DCF!$B$16)/(1+DCF!$B$14)^DCF!$B$27+DCF!$B$55)/Assumptions!$B$10</f>
        <v>204.946274808219</v>
      </c>
      <c r="C19" s="13" t="n">
        <f aca="false">(DCF!$E$7*DCF!$E$9+SUMPRODUCT((Forecast!$E$7*(1+$A19)^$F$6:$N$6*(Forecast!$E$8+(C$9-Forecast!$E$8)*$F$6:$N$6/9)*(1-Forecast!$F$13:$N$13)-(Forecast!$F$16:$N$16-Forecast!$F$10:$N$10)*Forecast!$E$7*(1+$A19)^$F$6:$N$6-Assumptions!$B$22*Forecast!$E$7*(1+$A19)^($F$6:$N$6-1)*$A19)/(1+DCF!$B$14)^(DCF!$B$15+$F$6:$N$6-0.5))+Forecast!$E$7*(1+$A19)^9*(1+DCF!$B$16)*C$9*(1-Forecast!$N$13)*(1-DCF!$B$16/DCF!$B$17)/(DCF!$B$14-DCF!$B$16)/(1+DCF!$B$14)^DCF!$B$27+DCF!$B$55)/Assumptions!$B$10</f>
        <v>227.498439530707</v>
      </c>
      <c r="D19" s="13" t="n">
        <f aca="false">(DCF!$E$7*DCF!$E$9+SUMPRODUCT((Forecast!$E$7*(1+$A19)^$F$6:$N$6*(Forecast!$E$8+(D$9-Forecast!$E$8)*$F$6:$N$6/9)*(1-Forecast!$F$13:$N$13)-(Forecast!$F$16:$N$16-Forecast!$F$10:$N$10)*Forecast!$E$7*(1+$A19)^$F$6:$N$6-Assumptions!$B$22*Forecast!$E$7*(1+$A19)^($F$6:$N$6-1)*$A19)/(1+DCF!$B$14)^(DCF!$B$15+$F$6:$N$6-0.5))+Forecast!$E$7*(1+$A19)^9*(1+DCF!$B$16)*D$9*(1-Forecast!$N$13)*(1-DCF!$B$16/DCF!$B$17)/(DCF!$B$14-DCF!$B$16)/(1+DCF!$B$14)^DCF!$B$27+DCF!$B$55)/Assumptions!$B$10</f>
        <v>250.050604253195</v>
      </c>
      <c r="E19" s="13" t="n">
        <f aca="false">(DCF!$E$7*DCF!$E$9+SUMPRODUCT((Forecast!$E$7*(1+$A19)^$F$6:$N$6*(Forecast!$E$8+(E$9-Forecast!$E$8)*$F$6:$N$6/9)*(1-Forecast!$F$13:$N$13)-(Forecast!$F$16:$N$16-Forecast!$F$10:$N$10)*Forecast!$E$7*(1+$A19)^$F$6:$N$6-Assumptions!$B$22*Forecast!$E$7*(1+$A19)^($F$6:$N$6-1)*$A19)/(1+DCF!$B$14)^(DCF!$B$15+$F$6:$N$6-0.5))+Forecast!$E$7*(1+$A19)^9*(1+DCF!$B$16)*E$9*(1-Forecast!$N$13)*(1-DCF!$B$16/DCF!$B$17)/(DCF!$B$14-DCF!$B$16)/(1+DCF!$B$14)^DCF!$B$27+DCF!$B$55)/Assumptions!$B$10</f>
        <v>272.602768975683</v>
      </c>
      <c r="F19" s="13" t="n">
        <f aca="false">(DCF!$E$7*DCF!$E$9+SUMPRODUCT((Forecast!$E$7*(1+$A19)^$F$6:$N$6*(Forecast!$E$8+(F$9-Forecast!$E$8)*$F$6:$N$6/9)*(1-Forecast!$F$13:$N$13)-(Forecast!$F$16:$N$16-Forecast!$F$10:$N$10)*Forecast!$E$7*(1+$A19)^$F$6:$N$6-Assumptions!$B$22*Forecast!$E$7*(1+$A19)^($F$6:$N$6-1)*$A19)/(1+DCF!$B$14)^(DCF!$B$15+$F$6:$N$6-0.5))+Forecast!$E$7*(1+$A19)^9*(1+DCF!$B$16)*F$9*(1-Forecast!$N$13)*(1-DCF!$B$16/DCF!$B$17)/(DCF!$B$14-DCF!$B$16)/(1+DCF!$B$14)^DCF!$B$27+DCF!$B$55)/Assumptions!$B$10</f>
        <v>295.154933698171</v>
      </c>
      <c r="G19" s="13" t="n">
        <f aca="false">(DCF!$E$7*DCF!$E$9+SUMPRODUCT((Forecast!$E$7*(1+$A19)^$F$6:$N$6*(Forecast!$E$8+(G$9-Forecast!$E$8)*$F$6:$N$6/9)*(1-Forecast!$F$13:$N$13)-(Forecast!$F$16:$N$16-Forecast!$F$10:$N$10)*Forecast!$E$7*(1+$A19)^$F$6:$N$6-Assumptions!$B$22*Forecast!$E$7*(1+$A19)^($F$6:$N$6-1)*$A19)/(1+DCF!$B$14)^(DCF!$B$15+$F$6:$N$6-0.5))+Forecast!$E$7*(1+$A19)^9*(1+DCF!$B$16)*G$9*(1-Forecast!$N$13)*(1-DCF!$B$16/DCF!$B$17)/(DCF!$B$14-DCF!$B$16)/(1+DCF!$B$14)^DCF!$B$27+DCF!$B$55)/Assumptions!$B$10</f>
        <v>317.707098420659</v>
      </c>
      <c r="H19" s="13" t="n">
        <f aca="false">(DCF!$E$7*DCF!$E$9+SUMPRODUCT((Forecast!$E$7*(1+$A19)^$F$6:$N$6*(Forecast!$E$8+(H$9-Forecast!$E$8)*$F$6:$N$6/9)*(1-Forecast!$F$13:$N$13)-(Forecast!$F$16:$N$16-Forecast!$F$10:$N$10)*Forecast!$E$7*(1+$A19)^$F$6:$N$6-Assumptions!$B$22*Forecast!$E$7*(1+$A19)^($F$6:$N$6-1)*$A19)/(1+DCF!$B$14)^(DCF!$B$15+$F$6:$N$6-0.5))+Forecast!$E$7*(1+$A19)^9*(1+DCF!$B$16)*H$9*(1-Forecast!$N$13)*(1-DCF!$B$16/DCF!$B$17)/(DCF!$B$14-DCF!$B$16)/(1+DCF!$B$14)^DCF!$B$27+DCF!$B$55)/Assumptions!$B$10</f>
        <v>259.07147014219</v>
      </c>
    </row>
    <row r="20" customFormat="false" ht="15" hidden="false" customHeight="false" outlineLevel="0" collapsed="false">
      <c r="A20" s="74" t="n">
        <v>0.24</v>
      </c>
      <c r="B20" s="13" t="n">
        <f aca="false">(DCF!$E$7*DCF!$E$9+SUMPRODUCT((Forecast!$E$7*(1+$A20)^$F$6:$N$6*(Forecast!$E$8+(B$9-Forecast!$E$8)*$F$6:$N$6/9)*(1-Forecast!$F$13:$N$13)-(Forecast!$F$16:$N$16-Forecast!$F$10:$N$10)*Forecast!$E$7*(1+$A20)^$F$6:$N$6-Assumptions!$B$22*Forecast!$E$7*(1+$A20)^($F$6:$N$6-1)*$A20)/(1+DCF!$B$14)^(DCF!$B$15+$F$6:$N$6-0.5))+Forecast!$E$7*(1+$A20)^9*(1+DCF!$B$16)*B$9*(1-Forecast!$N$13)*(1-DCF!$B$16/DCF!$B$17)/(DCF!$B$14-DCF!$B$16)/(1+DCF!$B$14)^DCF!$B$27+DCF!$B$55)/Assumptions!$B$10</f>
        <v>229.821365291057</v>
      </c>
      <c r="C20" s="13" t="n">
        <f aca="false">(DCF!$E$7*DCF!$E$9+SUMPRODUCT((Forecast!$E$7*(1+$A20)^$F$6:$N$6*(Forecast!$E$8+(C$9-Forecast!$E$8)*$F$6:$N$6/9)*(1-Forecast!$F$13:$N$13)-(Forecast!$F$16:$N$16-Forecast!$F$10:$N$10)*Forecast!$E$7*(1+$A20)^$F$6:$N$6-Assumptions!$B$22*Forecast!$E$7*(1+$A20)^($F$6:$N$6-1)*$A20)/(1+DCF!$B$14)^(DCF!$B$15+$F$6:$N$6-0.5))+Forecast!$E$7*(1+$A20)^9*(1+DCF!$B$16)*C$9*(1-Forecast!$N$13)*(1-DCF!$B$16/DCF!$B$17)/(DCF!$B$14-DCF!$B$16)/(1+DCF!$B$14)^DCF!$B$27+DCF!$B$55)/Assumptions!$B$10</f>
        <v>255.675716410868</v>
      </c>
      <c r="D20" s="13" t="n">
        <f aca="false">(DCF!$E$7*DCF!$E$9+SUMPRODUCT((Forecast!$E$7*(1+$A20)^$F$6:$N$6*(Forecast!$E$8+(D$9-Forecast!$E$8)*$F$6:$N$6/9)*(1-Forecast!$F$13:$N$13)-(Forecast!$F$16:$N$16-Forecast!$F$10:$N$10)*Forecast!$E$7*(1+$A20)^$F$6:$N$6-Assumptions!$B$22*Forecast!$E$7*(1+$A20)^($F$6:$N$6-1)*$A20)/(1+DCF!$B$14)^(DCF!$B$15+$F$6:$N$6-0.5))+Forecast!$E$7*(1+$A20)^9*(1+DCF!$B$16)*D$9*(1-Forecast!$N$13)*(1-DCF!$B$16/DCF!$B$17)/(DCF!$B$14-DCF!$B$16)/(1+DCF!$B$14)^DCF!$B$27+DCF!$B$55)/Assumptions!$B$10</f>
        <v>281.530067530679</v>
      </c>
      <c r="E20" s="13" t="n">
        <f aca="false">(DCF!$E$7*DCF!$E$9+SUMPRODUCT((Forecast!$E$7*(1+$A20)^$F$6:$N$6*(Forecast!$E$8+(E$9-Forecast!$E$8)*$F$6:$N$6/9)*(1-Forecast!$F$13:$N$13)-(Forecast!$F$16:$N$16-Forecast!$F$10:$N$10)*Forecast!$E$7*(1+$A20)^$F$6:$N$6-Assumptions!$B$22*Forecast!$E$7*(1+$A20)^($F$6:$N$6-1)*$A20)/(1+DCF!$B$14)^(DCF!$B$15+$F$6:$N$6-0.5))+Forecast!$E$7*(1+$A20)^9*(1+DCF!$B$16)*E$9*(1-Forecast!$N$13)*(1-DCF!$B$16/DCF!$B$17)/(DCF!$B$14-DCF!$B$16)/(1+DCF!$B$14)^DCF!$B$27+DCF!$B$55)/Assumptions!$B$10</f>
        <v>307.38441865049</v>
      </c>
      <c r="F20" s="13" t="n">
        <f aca="false">(DCF!$E$7*DCF!$E$9+SUMPRODUCT((Forecast!$E$7*(1+$A20)^$F$6:$N$6*(Forecast!$E$8+(F$9-Forecast!$E$8)*$F$6:$N$6/9)*(1-Forecast!$F$13:$N$13)-(Forecast!$F$16:$N$16-Forecast!$F$10:$N$10)*Forecast!$E$7*(1+$A20)^$F$6:$N$6-Assumptions!$B$22*Forecast!$E$7*(1+$A20)^($F$6:$N$6-1)*$A20)/(1+DCF!$B$14)^(DCF!$B$15+$F$6:$N$6-0.5))+Forecast!$E$7*(1+$A20)^9*(1+DCF!$B$16)*F$9*(1-Forecast!$N$13)*(1-DCF!$B$16/DCF!$B$17)/(DCF!$B$14-DCF!$B$16)/(1+DCF!$B$14)^DCF!$B$27+DCF!$B$55)/Assumptions!$B$10</f>
        <v>333.238769770301</v>
      </c>
      <c r="G20" s="13" t="n">
        <f aca="false">(DCF!$E$7*DCF!$E$9+SUMPRODUCT((Forecast!$E$7*(1+$A20)^$F$6:$N$6*(Forecast!$E$8+(G$9-Forecast!$E$8)*$F$6:$N$6/9)*(1-Forecast!$F$13:$N$13)-(Forecast!$F$16:$N$16-Forecast!$F$10:$N$10)*Forecast!$E$7*(1+$A20)^$F$6:$N$6-Assumptions!$B$22*Forecast!$E$7*(1+$A20)^($F$6:$N$6-1)*$A20)/(1+DCF!$B$14)^(DCF!$B$15+$F$6:$N$6-0.5))+Forecast!$E$7*(1+$A20)^9*(1+DCF!$B$16)*G$9*(1-Forecast!$N$13)*(1-DCF!$B$16/DCF!$B$17)/(DCF!$B$14-DCF!$B$16)/(1+DCF!$B$14)^DCF!$B$27+DCF!$B$55)/Assumptions!$B$10</f>
        <v>359.093120890112</v>
      </c>
      <c r="H20" s="13" t="n">
        <f aca="false">(DCF!$E$7*DCF!$E$9+SUMPRODUCT((Forecast!$E$7*(1+$A20)^$F$6:$N$6*(Forecast!$E$8+(H$9-Forecast!$E$8)*$F$6:$N$6/9)*(1-Forecast!$F$13:$N$13)-(Forecast!$F$16:$N$16-Forecast!$F$10:$N$10)*Forecast!$E$7*(1+$A20)^$F$6:$N$6-Assumptions!$B$22*Forecast!$E$7*(1+$A20)^($F$6:$N$6-1)*$A20)/(1+DCF!$B$14)^(DCF!$B$15+$F$6:$N$6-0.5))+Forecast!$E$7*(1+$A20)^9*(1+DCF!$B$16)*H$9*(1-Forecast!$N$13)*(1-DCF!$B$16/DCF!$B$17)/(DCF!$B$14-DCF!$B$16)/(1+DCF!$B$14)^DCF!$B$27+DCF!$B$55)/Assumptions!$B$10</f>
        <v>291.871807978603</v>
      </c>
    </row>
    <row r="21" customFormat="false" ht="15" hidden="false" customHeight="false" outlineLevel="0" collapsed="false">
      <c r="A21" s="74" t="n">
        <v>0.26</v>
      </c>
      <c r="B21" s="13" t="n">
        <f aca="false">(DCF!$E$7*DCF!$E$9+SUMPRODUCT((Forecast!$E$7*(1+$A21)^$F$6:$N$6*(Forecast!$E$8+(B$9-Forecast!$E$8)*$F$6:$N$6/9)*(1-Forecast!$F$13:$N$13)-(Forecast!$F$16:$N$16-Forecast!$F$10:$N$10)*Forecast!$E$7*(1+$A21)^$F$6:$N$6-Assumptions!$B$22*Forecast!$E$7*(1+$A21)^($F$6:$N$6-1)*$A21)/(1+DCF!$B$14)^(DCF!$B$15+$F$6:$N$6-0.5))+Forecast!$E$7*(1+$A21)^9*(1+DCF!$B$16)*B$9*(1-Forecast!$N$13)*(1-DCF!$B$16/DCF!$B$17)/(DCF!$B$14-DCF!$B$16)/(1+DCF!$B$14)^DCF!$B$27+DCF!$B$55)/Assumptions!$B$10</f>
        <v>257.780262687423</v>
      </c>
      <c r="C21" s="13" t="n">
        <f aca="false">(DCF!$E$7*DCF!$E$9+SUMPRODUCT((Forecast!$E$7*(1+$A21)^$F$6:$N$6*(Forecast!$E$8+(C$9-Forecast!$E$8)*$F$6:$N$6/9)*(1-Forecast!$F$13:$N$13)-(Forecast!$F$16:$N$16-Forecast!$F$10:$N$10)*Forecast!$E$7*(1+$A21)^$F$6:$N$6-Assumptions!$B$22*Forecast!$E$7*(1+$A21)^($F$6:$N$6-1)*$A21)/(1+DCF!$B$14)^(DCF!$B$15+$F$6:$N$6-0.5))+Forecast!$E$7*(1+$A21)^9*(1+DCF!$B$16)*C$9*(1-Forecast!$N$13)*(1-DCF!$B$16/DCF!$B$17)/(DCF!$B$14-DCF!$B$16)/(1+DCF!$B$14)^DCF!$B$27+DCF!$B$55)/Assumptions!$B$10</f>
        <v>287.371236915859</v>
      </c>
      <c r="D21" s="13" t="n">
        <f aca="false">(DCF!$E$7*DCF!$E$9+SUMPRODUCT((Forecast!$E$7*(1+$A21)^$F$6:$N$6*(Forecast!$E$8+(D$9-Forecast!$E$8)*$F$6:$N$6/9)*(1-Forecast!$F$13:$N$13)-(Forecast!$F$16:$N$16-Forecast!$F$10:$N$10)*Forecast!$E$7*(1+$A21)^$F$6:$N$6-Assumptions!$B$22*Forecast!$E$7*(1+$A21)^($F$6:$N$6-1)*$A21)/(1+DCF!$B$14)^(DCF!$B$15+$F$6:$N$6-0.5))+Forecast!$E$7*(1+$A21)^9*(1+DCF!$B$16)*D$9*(1-Forecast!$N$13)*(1-DCF!$B$16/DCF!$B$17)/(DCF!$B$14-DCF!$B$16)/(1+DCF!$B$14)^DCF!$B$27+DCF!$B$55)/Assumptions!$B$10</f>
        <v>316.962211144294</v>
      </c>
      <c r="E21" s="13" t="n">
        <f aca="false">(DCF!$E$7*DCF!$E$9+SUMPRODUCT((Forecast!$E$7*(1+$A21)^$F$6:$N$6*(Forecast!$E$8+(E$9-Forecast!$E$8)*$F$6:$N$6/9)*(1-Forecast!$F$13:$N$13)-(Forecast!$F$16:$N$16-Forecast!$F$10:$N$10)*Forecast!$E$7*(1+$A21)^$F$6:$N$6-Assumptions!$B$22*Forecast!$E$7*(1+$A21)^($F$6:$N$6-1)*$A21)/(1+DCF!$B$14)^(DCF!$B$15+$F$6:$N$6-0.5))+Forecast!$E$7*(1+$A21)^9*(1+DCF!$B$16)*E$9*(1-Forecast!$N$13)*(1-DCF!$B$16/DCF!$B$17)/(DCF!$B$14-DCF!$B$16)/(1+DCF!$B$14)^DCF!$B$27+DCF!$B$55)/Assumptions!$B$10</f>
        <v>346.553185372729</v>
      </c>
      <c r="F21" s="13" t="n">
        <f aca="false">(DCF!$E$7*DCF!$E$9+SUMPRODUCT((Forecast!$E$7*(1+$A21)^$F$6:$N$6*(Forecast!$E$8+(F$9-Forecast!$E$8)*$F$6:$N$6/9)*(1-Forecast!$F$13:$N$13)-(Forecast!$F$16:$N$16-Forecast!$F$10:$N$10)*Forecast!$E$7*(1+$A21)^$F$6:$N$6-Assumptions!$B$22*Forecast!$E$7*(1+$A21)^($F$6:$N$6-1)*$A21)/(1+DCF!$B$14)^(DCF!$B$15+$F$6:$N$6-0.5))+Forecast!$E$7*(1+$A21)^9*(1+DCF!$B$16)*F$9*(1-Forecast!$N$13)*(1-DCF!$B$16/DCF!$B$17)/(DCF!$B$14-DCF!$B$16)/(1+DCF!$B$14)^DCF!$B$27+DCF!$B$55)/Assumptions!$B$10</f>
        <v>376.144159601164</v>
      </c>
      <c r="G21" s="13" t="n">
        <f aca="false">(DCF!$E$7*DCF!$E$9+SUMPRODUCT((Forecast!$E$7*(1+$A21)^$F$6:$N$6*(Forecast!$E$8+(G$9-Forecast!$E$8)*$F$6:$N$6/9)*(1-Forecast!$F$13:$N$13)-(Forecast!$F$16:$N$16-Forecast!$F$10:$N$10)*Forecast!$E$7*(1+$A21)^$F$6:$N$6-Assumptions!$B$22*Forecast!$E$7*(1+$A21)^($F$6:$N$6-1)*$A21)/(1+DCF!$B$14)^(DCF!$B$15+$F$6:$N$6-0.5))+Forecast!$E$7*(1+$A21)^9*(1+DCF!$B$16)*G$9*(1-Forecast!$N$13)*(1-DCF!$B$16/DCF!$B$17)/(DCF!$B$14-DCF!$B$16)/(1+DCF!$B$14)^DCF!$B$27+DCF!$B$55)/Assumptions!$B$10</f>
        <v>405.735133829599</v>
      </c>
      <c r="H21" s="13" t="n">
        <f aca="false">(DCF!$E$7*DCF!$E$9+SUMPRODUCT((Forecast!$E$7*(1+$A21)^$F$6:$N$6*(Forecast!$E$8+(H$9-Forecast!$E$8)*$F$6:$N$6/9)*(1-Forecast!$F$13:$N$13)-(Forecast!$F$16:$N$16-Forecast!$F$10:$N$10)*Forecast!$E$7*(1+$A21)^$F$6:$N$6-Assumptions!$B$22*Forecast!$E$7*(1+$A21)^($F$6:$N$6-1)*$A21)/(1+DCF!$B$14)^(DCF!$B$15+$F$6:$N$6-0.5))+Forecast!$E$7*(1+$A21)^9*(1+DCF!$B$16)*H$9*(1-Forecast!$N$13)*(1-DCF!$B$16/DCF!$B$17)/(DCF!$B$14-DCF!$B$16)/(1+DCF!$B$14)^DCF!$B$27+DCF!$B$55)/Assumptions!$B$10</f>
        <v>328.798600835668</v>
      </c>
    </row>
    <row r="22" customFormat="false" ht="15" hidden="false" customHeight="false" outlineLevel="0" collapsed="false">
      <c r="A22" s="74" t="n">
        <v>0.28</v>
      </c>
      <c r="B22" s="13" t="n">
        <f aca="false">(DCF!$E$7*DCF!$E$9+SUMPRODUCT((Forecast!$E$7*(1+$A22)^$F$6:$N$6*(Forecast!$E$8+(B$9-Forecast!$E$8)*$F$6:$N$6/9)*(1-Forecast!$F$13:$N$13)-(Forecast!$F$16:$N$16-Forecast!$F$10:$N$10)*Forecast!$E$7*(1+$A22)^$F$6:$N$6-Assumptions!$B$22*Forecast!$E$7*(1+$A22)^($F$6:$N$6-1)*$A22)/(1+DCF!$B$14)^(DCF!$B$15+$F$6:$N$6-0.5))+Forecast!$E$7*(1+$A22)^9*(1+DCF!$B$16)*B$9*(1-Forecast!$N$13)*(1-DCF!$B$16/DCF!$B$17)/(DCF!$B$14-DCF!$B$16)/(1+DCF!$B$14)^DCF!$B$27+DCF!$B$55)/Assumptions!$B$10</f>
        <v>289.168129496284</v>
      </c>
      <c r="C22" s="13" t="n">
        <f aca="false">(DCF!$E$7*DCF!$E$9+SUMPRODUCT((Forecast!$E$7*(1+$A22)^$F$6:$N$6*(Forecast!$E$8+(C$9-Forecast!$E$8)*$F$6:$N$6/9)*(1-Forecast!$F$13:$N$13)-(Forecast!$F$16:$N$16-Forecast!$F$10:$N$10)*Forecast!$E$7*(1+$A22)^$F$6:$N$6-Assumptions!$B$22*Forecast!$E$7*(1+$A22)^($F$6:$N$6-1)*$A22)/(1+DCF!$B$14)^(DCF!$B$15+$F$6:$N$6-0.5))+Forecast!$E$7*(1+$A22)^9*(1+DCF!$B$16)*C$9*(1-Forecast!$N$13)*(1-DCF!$B$16/DCF!$B$17)/(DCF!$B$14-DCF!$B$16)/(1+DCF!$B$14)^DCF!$B$27+DCF!$B$55)/Assumptions!$B$10</f>
        <v>322.980084252891</v>
      </c>
      <c r="D22" s="13" t="n">
        <f aca="false">(DCF!$E$7*DCF!$E$9+SUMPRODUCT((Forecast!$E$7*(1+$A22)^$F$6:$N$6*(Forecast!$E$8+(D$9-Forecast!$E$8)*$F$6:$N$6/9)*(1-Forecast!$F$13:$N$13)-(Forecast!$F$16:$N$16-Forecast!$F$10:$N$10)*Forecast!$E$7*(1+$A22)^$F$6:$N$6-Assumptions!$B$22*Forecast!$E$7*(1+$A22)^($F$6:$N$6-1)*$A22)/(1+DCF!$B$14)^(DCF!$B$15+$F$6:$N$6-0.5))+Forecast!$E$7*(1+$A22)^9*(1+DCF!$B$16)*D$9*(1-Forecast!$N$13)*(1-DCF!$B$16/DCF!$B$17)/(DCF!$B$14-DCF!$B$16)/(1+DCF!$B$14)^DCF!$B$27+DCF!$B$55)/Assumptions!$B$10</f>
        <v>356.792039009498</v>
      </c>
      <c r="E22" s="13" t="n">
        <f aca="false">(DCF!$E$7*DCF!$E$9+SUMPRODUCT((Forecast!$E$7*(1+$A22)^$F$6:$N$6*(Forecast!$E$8+(E$9-Forecast!$E$8)*$F$6:$N$6/9)*(1-Forecast!$F$13:$N$13)-(Forecast!$F$16:$N$16-Forecast!$F$10:$N$10)*Forecast!$E$7*(1+$A22)^$F$6:$N$6-Assumptions!$B$22*Forecast!$E$7*(1+$A22)^($F$6:$N$6-1)*$A22)/(1+DCF!$B$14)^(DCF!$B$15+$F$6:$N$6-0.5))+Forecast!$E$7*(1+$A22)^9*(1+DCF!$B$16)*E$9*(1-Forecast!$N$13)*(1-DCF!$B$16/DCF!$B$17)/(DCF!$B$14-DCF!$B$16)/(1+DCF!$B$14)^DCF!$B$27+DCF!$B$55)/Assumptions!$B$10</f>
        <v>390.603993766106</v>
      </c>
      <c r="F22" s="13" t="n">
        <f aca="false">(DCF!$E$7*DCF!$E$9+SUMPRODUCT((Forecast!$E$7*(1+$A22)^$F$6:$N$6*(Forecast!$E$8+(F$9-Forecast!$E$8)*$F$6:$N$6/9)*(1-Forecast!$F$13:$N$13)-(Forecast!$F$16:$N$16-Forecast!$F$10:$N$10)*Forecast!$E$7*(1+$A22)^$F$6:$N$6-Assumptions!$B$22*Forecast!$E$7*(1+$A22)^($F$6:$N$6-1)*$A22)/(1+DCF!$B$14)^(DCF!$B$15+$F$6:$N$6-0.5))+Forecast!$E$7*(1+$A22)^9*(1+DCF!$B$16)*F$9*(1-Forecast!$N$13)*(1-DCF!$B$16/DCF!$B$17)/(DCF!$B$14-DCF!$B$16)/(1+DCF!$B$14)^DCF!$B$27+DCF!$B$55)/Assumptions!$B$10</f>
        <v>424.415948522713</v>
      </c>
      <c r="G22" s="13" t="n">
        <f aca="false">(DCF!$E$7*DCF!$E$9+SUMPRODUCT((Forecast!$E$7*(1+$A22)^$F$6:$N$6*(Forecast!$E$8+(G$9-Forecast!$E$8)*$F$6:$N$6/9)*(1-Forecast!$F$13:$N$13)-(Forecast!$F$16:$N$16-Forecast!$F$10:$N$10)*Forecast!$E$7*(1+$A22)^$F$6:$N$6-Assumptions!$B$22*Forecast!$E$7*(1+$A22)^($F$6:$N$6-1)*$A22)/(1+DCF!$B$14)^(DCF!$B$15+$F$6:$N$6-0.5))+Forecast!$E$7*(1+$A22)^9*(1+DCF!$B$16)*G$9*(1-Forecast!$N$13)*(1-DCF!$B$16/DCF!$B$17)/(DCF!$B$14-DCF!$B$16)/(1+DCF!$B$14)^DCF!$B$27+DCF!$B$55)/Assumptions!$B$10</f>
        <v>458.22790327932</v>
      </c>
      <c r="H22" s="13" t="n">
        <f aca="false">(DCF!$E$7*DCF!$E$9+SUMPRODUCT((Forecast!$E$7*(1+$A22)^$F$6:$N$6*(Forecast!$E$8+(H$9-Forecast!$E$8)*$F$6:$N$6/9)*(1-Forecast!$F$13:$N$13)-(Forecast!$F$16:$N$16-Forecast!$F$10:$N$10)*Forecast!$E$7*(1+$A22)^$F$6:$N$6-Assumptions!$B$22*Forecast!$E$7*(1+$A22)^($F$6:$N$6-1)*$A22)/(1+DCF!$B$14)^(DCF!$B$15+$F$6:$N$6-0.5))+Forecast!$E$7*(1+$A22)^9*(1+DCF!$B$16)*H$9*(1-Forecast!$N$13)*(1-DCF!$B$16/DCF!$B$17)/(DCF!$B$14-DCF!$B$16)/(1+DCF!$B$14)^DCF!$B$27+DCF!$B$55)/Assumptions!$B$10</f>
        <v>370.316820912141</v>
      </c>
    </row>
    <row r="23" customFormat="false" ht="15" hidden="false" customHeight="false" outlineLevel="0" collapsed="false">
      <c r="A23" s="74" t="n">
        <v>0.3</v>
      </c>
      <c r="B23" s="13" t="n">
        <f aca="false">(DCF!$E$7*DCF!$E$9+SUMPRODUCT((Forecast!$E$7*(1+$A23)^$F$6:$N$6*(Forecast!$E$8+(B$9-Forecast!$E$8)*$F$6:$N$6/9)*(1-Forecast!$F$13:$N$13)-(Forecast!$F$16:$N$16-Forecast!$F$10:$N$10)*Forecast!$E$7*(1+$A23)^$F$6:$N$6-Assumptions!$B$22*Forecast!$E$7*(1+$A23)^($F$6:$N$6-1)*$A23)/(1+DCF!$B$14)^(DCF!$B$15+$F$6:$N$6-0.5))+Forecast!$E$7*(1+$A23)^9*(1+DCF!$B$16)*B$9*(1-Forecast!$N$13)*(1-DCF!$B$16/DCF!$B$17)/(DCF!$B$14-DCF!$B$16)/(1+DCF!$B$14)^DCF!$B$27+DCF!$B$55)/Assumptions!$B$10</f>
        <v>324.363398782449</v>
      </c>
      <c r="C23" s="13" t="n">
        <f aca="false">(DCF!$E$7*DCF!$E$9+SUMPRODUCT((Forecast!$E$7*(1+$A23)^$F$6:$N$6*(Forecast!$E$8+(C$9-Forecast!$E$8)*$F$6:$N$6/9)*(1-Forecast!$F$13:$N$13)-(Forecast!$F$16:$N$16-Forecast!$F$10:$N$10)*Forecast!$E$7*(1+$A23)^$F$6:$N$6-Assumptions!$B$22*Forecast!$E$7*(1+$A23)^($F$6:$N$6-1)*$A23)/(1+DCF!$B$14)^(DCF!$B$15+$F$6:$N$6-0.5))+Forecast!$E$7*(1+$A23)^9*(1+DCF!$B$16)*C$9*(1-Forecast!$N$13)*(1-DCF!$B$16/DCF!$B$17)/(DCF!$B$14-DCF!$B$16)/(1+DCF!$B$14)^DCF!$B$27+DCF!$B$55)/Assumptions!$B$10</f>
        <v>362.935490475137</v>
      </c>
      <c r="D23" s="13" t="n">
        <f aca="false">(DCF!$E$7*DCF!$E$9+SUMPRODUCT((Forecast!$E$7*(1+$A23)^$F$6:$N$6*(Forecast!$E$8+(D$9-Forecast!$E$8)*$F$6:$N$6/9)*(1-Forecast!$F$13:$N$13)-(Forecast!$F$16:$N$16-Forecast!$F$10:$N$10)*Forecast!$E$7*(1+$A23)^$F$6:$N$6-Assumptions!$B$22*Forecast!$E$7*(1+$A23)^($F$6:$N$6-1)*$A23)/(1+DCF!$B$14)^(DCF!$B$15+$F$6:$N$6-0.5))+Forecast!$E$7*(1+$A23)^9*(1+DCF!$B$16)*D$9*(1-Forecast!$N$13)*(1-DCF!$B$16/DCF!$B$17)/(DCF!$B$14-DCF!$B$16)/(1+DCF!$B$14)^DCF!$B$27+DCF!$B$55)/Assumptions!$B$10</f>
        <v>401.507582167825</v>
      </c>
      <c r="E23" s="13" t="n">
        <f aca="false">(DCF!$E$7*DCF!$E$9+SUMPRODUCT((Forecast!$E$7*(1+$A23)^$F$6:$N$6*(Forecast!$E$8+(E$9-Forecast!$E$8)*$F$6:$N$6/9)*(1-Forecast!$F$13:$N$13)-(Forecast!$F$16:$N$16-Forecast!$F$10:$N$10)*Forecast!$E$7*(1+$A23)^$F$6:$N$6-Assumptions!$B$22*Forecast!$E$7*(1+$A23)^($F$6:$N$6-1)*$A23)/(1+DCF!$B$14)^(DCF!$B$15+$F$6:$N$6-0.5))+Forecast!$E$7*(1+$A23)^9*(1+DCF!$B$16)*E$9*(1-Forecast!$N$13)*(1-DCF!$B$16/DCF!$B$17)/(DCF!$B$14-DCF!$B$16)/(1+DCF!$B$14)^DCF!$B$27+DCF!$B$55)/Assumptions!$B$10</f>
        <v>440.079673860513</v>
      </c>
      <c r="F23" s="13" t="n">
        <f aca="false">(DCF!$E$7*DCF!$E$9+SUMPRODUCT((Forecast!$E$7*(1+$A23)^$F$6:$N$6*(Forecast!$E$8+(F$9-Forecast!$E$8)*$F$6:$N$6/9)*(1-Forecast!$F$13:$N$13)-(Forecast!$F$16:$N$16-Forecast!$F$10:$N$10)*Forecast!$E$7*(1+$A23)^$F$6:$N$6-Assumptions!$B$22*Forecast!$E$7*(1+$A23)^($F$6:$N$6-1)*$A23)/(1+DCF!$B$14)^(DCF!$B$15+$F$6:$N$6-0.5))+Forecast!$E$7*(1+$A23)^9*(1+DCF!$B$16)*F$9*(1-Forecast!$N$13)*(1-DCF!$B$16/DCF!$B$17)/(DCF!$B$14-DCF!$B$16)/(1+DCF!$B$14)^DCF!$B$27+DCF!$B$55)/Assumptions!$B$10</f>
        <v>478.6517655532</v>
      </c>
      <c r="G23" s="13" t="n">
        <f aca="false">(DCF!$E$7*DCF!$E$9+SUMPRODUCT((Forecast!$E$7*(1+$A23)^$F$6:$N$6*(Forecast!$E$8+(G$9-Forecast!$E$8)*$F$6:$N$6/9)*(1-Forecast!$F$13:$N$13)-(Forecast!$F$16:$N$16-Forecast!$F$10:$N$10)*Forecast!$E$7*(1+$A23)^$F$6:$N$6-Assumptions!$B$22*Forecast!$E$7*(1+$A23)^($F$6:$N$6-1)*$A23)/(1+DCF!$B$14)^(DCF!$B$15+$F$6:$N$6-0.5))+Forecast!$E$7*(1+$A23)^9*(1+DCF!$B$16)*G$9*(1-Forecast!$N$13)*(1-DCF!$B$16/DCF!$B$17)/(DCF!$B$14-DCF!$B$16)/(1+DCF!$B$14)^DCF!$B$27+DCF!$B$55)/Assumptions!$B$10</f>
        <v>517.223857245888</v>
      </c>
      <c r="H23" s="13" t="n">
        <f aca="false">(DCF!$E$7*DCF!$E$9+SUMPRODUCT((Forecast!$E$7*(1+$A23)^$F$6:$N$6*(Forecast!$E$8+(H$9-Forecast!$E$8)*$F$6:$N$6/9)*(1-Forecast!$F$13:$N$13)-(Forecast!$F$16:$N$16-Forecast!$F$10:$N$10)*Forecast!$E$7*(1+$A23)^$F$6:$N$6-Assumptions!$B$22*Forecast!$E$7*(1+$A23)^($F$6:$N$6-1)*$A23)/(1+DCF!$B$14)^(DCF!$B$15+$F$6:$N$6-0.5))+Forecast!$E$7*(1+$A23)^9*(1+DCF!$B$16)*H$9*(1-Forecast!$N$13)*(1-DCF!$B$16/DCF!$B$17)/(DCF!$B$14-DCF!$B$16)/(1+DCF!$B$14)^DCF!$B$27+DCF!$B$55)/Assumptions!$B$10</f>
        <v>416.9364188449</v>
      </c>
    </row>
    <row r="25" customFormat="false" ht="15" hidden="false" customHeight="false" outlineLevel="0" collapsed="false">
      <c r="A25" s="8" t="s">
        <v>302</v>
      </c>
      <c r="B25" s="76" t="n">
        <f aca="false">IFERROR(INDEX($A$10:$A$23,MATCH($B$3,$H$10:$H$23,1))+($B$3-INDEX($H$10:$H$23,MATCH($B$3,$H$10:$H$23,1)))/(INDEX($H$10:$H$23,MATCH($B$3,$H$10:$H$23,1)+1)-INDEX($H$10:$H$23,MATCH($B$3,$H$10:$H$23,1)))*0.02,"outside grid")</f>
        <v>0.197164987677376</v>
      </c>
    </row>
    <row r="26" customFormat="false" ht="15" hidden="false" customHeight="false" outlineLevel="0" collapsed="false">
      <c r="A26" s="8" t="s">
        <v>303</v>
      </c>
      <c r="B26" s="77" t="n">
        <f aca="false">(Assumptions!B9*Assumptions!B10-DCF!B55-DCF!B19)*(1+DCF!B14)^DCF!B37/DCF!B34</f>
        <v>13.4997868764214</v>
      </c>
    </row>
    <row r="27" customFormat="false" ht="15" hidden="false" customHeight="false" outlineLevel="0" collapsed="false">
      <c r="A27" s="2" t="s">
        <v>304</v>
      </c>
    </row>
  </sheetData>
  <conditionalFormatting sqref="B10:H23">
    <cfRule type="cellIs" priority="2" operator="greaterThanOrEqual" aboveAverage="0" equalAverage="0" bottom="0" percent="0" rank="0" text="" dxfId="0">
      <formula>$B$3</formula>
    </cfRule>
    <cfRule type="cellIs" priority="3" operator="lessThan" aboveAverage="0" equalAverage="0" bottom="0" percent="0" rank="0" text="" dxfId="1">
      <formula>$B$3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4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305</v>
      </c>
    </row>
    <row r="2" customFormat="false" ht="15" hidden="false" customHeight="false" outlineLevel="0" collapsed="false">
      <c r="A2" s="2" t="s">
        <v>306</v>
      </c>
    </row>
    <row r="3" customFormat="false" ht="15" hidden="false" customHeight="false" outlineLevel="0" collapsed="false">
      <c r="A3" s="3" t="s">
        <v>307</v>
      </c>
      <c r="B3" s="3" t="s">
        <v>308</v>
      </c>
      <c r="C3" s="3" t="s">
        <v>309</v>
      </c>
    </row>
    <row r="4" customFormat="false" ht="15" hidden="false" customHeight="false" outlineLevel="0" collapsed="false">
      <c r="A4" s="5" t="s">
        <v>310</v>
      </c>
      <c r="B4" s="47" t="str">
        <f aca="false">IF(MAX(ABS(Historicals!B61),ABS(Historicals!C61),ABS(Historicals!D61),ABS(Historicals!E61))&lt;1,"OK","ERROR")</f>
        <v>OK</v>
      </c>
      <c r="C4" s="78" t="n">
        <f aca="false">MAX(ABS(Historicals!B61),ABS(Historicals!C61),ABS(Historicals!D61),ABS(Historicals!E61))</f>
        <v>0</v>
      </c>
    </row>
    <row r="5" customFormat="false" ht="15" hidden="false" customHeight="false" outlineLevel="0" collapsed="false">
      <c r="A5" s="5" t="s">
        <v>311</v>
      </c>
      <c r="B5" s="47" t="str">
        <f aca="false">IF(ABS(Sensitivity!E10-DCF!B51)&lt;0.01,"OK","ERROR")</f>
        <v>OK</v>
      </c>
      <c r="C5" s="78" t="n">
        <f aca="false">Sensitivity!E10-DCF!B51</f>
        <v>0</v>
      </c>
    </row>
    <row r="6" customFormat="false" ht="15" hidden="false" customHeight="false" outlineLevel="0" collapsed="false">
      <c r="A6" s="5" t="s">
        <v>312</v>
      </c>
      <c r="B6" s="47" t="str">
        <f aca="false">IF(ABS(Sensitivity!E21-DCF!C51)&lt;0.01,"OK","ERROR")</f>
        <v>OK</v>
      </c>
      <c r="C6" s="78" t="n">
        <f aca="false">Sensitivity!E21-DCF!C51</f>
        <v>0</v>
      </c>
    </row>
    <row r="7" customFormat="false" ht="15" hidden="false" customHeight="false" outlineLevel="0" collapsed="false">
      <c r="A7" s="5" t="s">
        <v>313</v>
      </c>
      <c r="B7" s="47" t="str">
        <f aca="false">IF(ABS(DCF!D51-INDEX(Scenarios!D5:D7,Assumptions!B3))&lt;0.01,"OK","ERROR")</f>
        <v>OK</v>
      </c>
      <c r="C7" s="78" t="n">
        <f aca="false">DCF!D51-INDEX(Scenarios!D5:D7,Assumptions!B3)</f>
        <v>0</v>
      </c>
    </row>
    <row r="8" customFormat="false" ht="15" hidden="false" customHeight="false" outlineLevel="0" collapsed="false">
      <c r="A8" s="5" t="s">
        <v>314</v>
      </c>
      <c r="B8" s="47" t="str">
        <f aca="false">IF(DCF!B14&gt;DCF!B16,"OK","ERROR")</f>
        <v>OK</v>
      </c>
      <c r="C8" s="78" t="n">
        <f aca="false">DCF!B14-DCF!B16</f>
        <v>0.0835293379537478</v>
      </c>
    </row>
    <row r="9" customFormat="false" ht="15" hidden="false" customHeight="false" outlineLevel="0" collapsed="false">
      <c r="A9" s="5" t="s">
        <v>315</v>
      </c>
      <c r="B9" s="47" t="str">
        <f aca="false">IF(DCF!B16&lt;=Assumptions!B11,"OK","ERROR")</f>
        <v>OK</v>
      </c>
      <c r="C9" s="78" t="n">
        <f aca="false">Assumptions!B11-DCF!B16</f>
        <v>0.012</v>
      </c>
    </row>
    <row r="10" customFormat="false" ht="15" hidden="false" customHeight="false" outlineLevel="0" collapsed="false">
      <c r="A10" s="5" t="s">
        <v>316</v>
      </c>
      <c r="B10" s="47" t="str">
        <f aca="false">IF(ABS(SUM(Assumptions!B19:B21)-1)&lt;0.0001,"OK","ERROR")</f>
        <v>OK</v>
      </c>
      <c r="C10" s="78" t="n">
        <f aca="false">SUM(Assumptions!B19:B21)</f>
        <v>1</v>
      </c>
    </row>
    <row r="11" customFormat="false" ht="15" hidden="false" customHeight="false" outlineLevel="0" collapsed="false">
      <c r="A11" s="5" t="s">
        <v>317</v>
      </c>
      <c r="B11" s="47" t="str">
        <f aca="false">IF(Forecast!E7&gt;=Historicals!E6+Assumptions!B24,"OK","INFO: below guidance")</f>
        <v>OK</v>
      </c>
      <c r="C11" s="78" t="n">
        <f aca="false">Forecast!E7-(Historicals!E6+Assumptions!B24)</f>
        <v>117967.06</v>
      </c>
    </row>
    <row r="12" customFormat="false" ht="15" hidden="false" customHeight="false" outlineLevel="0" collapsed="false">
      <c r="A12" s="5" t="s">
        <v>318</v>
      </c>
      <c r="B12" s="47" t="str">
        <f aca="false">IF(AND(DCF!B30&gt;=0.4,DCF!B30&lt;=0.85),"OK","INFO: review")</f>
        <v>OK</v>
      </c>
      <c r="C12" s="78" t="n">
        <f aca="false">DCF!B30</f>
        <v>0.486446564331499</v>
      </c>
    </row>
    <row r="13" customFormat="false" ht="15" hidden="false" customHeight="false" outlineLevel="0" collapsed="false">
      <c r="A13" s="5" t="s">
        <v>319</v>
      </c>
      <c r="B13" s="47" t="str">
        <f aca="false">IF(AND(DCF!B24&gt;0,DCF!B24&lt;1),"OK","ERROR")</f>
        <v>OK</v>
      </c>
      <c r="C13" s="78" t="n">
        <f aca="false">DCF!B24</f>
        <v>0.116666666666667</v>
      </c>
    </row>
    <row r="14" customFormat="false" ht="15" hidden="false" customHeight="false" outlineLevel="0" collapsed="false">
      <c r="A14" s="5" t="s">
        <v>320</v>
      </c>
      <c r="B14" s="47" t="str">
        <f aca="false">IF(ABS(DCF!C51/DCF!B51-1)&lt;0.3,"OK","INFO: methods diverge")</f>
        <v>OK</v>
      </c>
      <c r="C14" s="78" t="n">
        <f aca="false">DCF!C51/DCF!B51-1</f>
        <v>0.264415753112247</v>
      </c>
    </row>
    <row r="16" customFormat="false" ht="15" hidden="false" customHeight="false" outlineLevel="0" collapsed="false">
      <c r="A16" s="8" t="s">
        <v>321</v>
      </c>
      <c r="B16" s="79" t="str">
        <f aca="false">IF(COUNTIF(B4:B14,"ERROR")=0,"ALL CHECKS PASS","ERRORS PRESENT")</f>
        <v>ALL CHECKS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" t="s">
        <v>322</v>
      </c>
    </row>
    <row r="3" customFormat="false" ht="15" hidden="false" customHeight="false" outlineLevel="0" collapsed="false">
      <c r="A3" s="3" t="s">
        <v>323</v>
      </c>
      <c r="B3" s="4"/>
    </row>
    <row r="4" customFormat="false" ht="27.75" hidden="false" customHeight="true" outlineLevel="0" collapsed="false">
      <c r="A4" s="80" t="s">
        <v>324</v>
      </c>
      <c r="B4" s="2" t="s">
        <v>325</v>
      </c>
    </row>
    <row r="5" customFormat="false" ht="27.75" hidden="false" customHeight="true" outlineLevel="0" collapsed="false">
      <c r="A5" s="80" t="s">
        <v>326</v>
      </c>
      <c r="B5" s="2" t="s">
        <v>327</v>
      </c>
    </row>
    <row r="6" customFormat="false" ht="27.75" hidden="false" customHeight="true" outlineLevel="0" collapsed="false">
      <c r="A6" s="80" t="s">
        <v>328</v>
      </c>
      <c r="B6" s="2" t="s">
        <v>329</v>
      </c>
    </row>
    <row r="7" customFormat="false" ht="27.75" hidden="false" customHeight="true" outlineLevel="0" collapsed="false">
      <c r="A7" s="80" t="s">
        <v>330</v>
      </c>
      <c r="B7" s="2" t="s">
        <v>331</v>
      </c>
    </row>
    <row r="8" customFormat="false" ht="27.75" hidden="false" customHeight="true" outlineLevel="0" collapsed="false">
      <c r="A8" s="80" t="s">
        <v>332</v>
      </c>
      <c r="B8" s="2" t="s">
        <v>333</v>
      </c>
    </row>
    <row r="9" customFormat="false" ht="27.75" hidden="false" customHeight="true" outlineLevel="0" collapsed="false">
      <c r="A9" s="80" t="s">
        <v>334</v>
      </c>
      <c r="B9" s="2" t="s">
        <v>335</v>
      </c>
    </row>
    <row r="12" customFormat="false" ht="15" hidden="false" customHeight="false" outlineLevel="0" collapsed="false">
      <c r="A12" s="3" t="s">
        <v>336</v>
      </c>
      <c r="B12" s="4"/>
    </row>
    <row r="13" customFormat="false" ht="42" hidden="false" customHeight="true" outlineLevel="0" collapsed="false">
      <c r="A13" s="22" t="s">
        <v>337</v>
      </c>
      <c r="B13" s="22"/>
    </row>
    <row r="14" customFormat="false" ht="42" hidden="false" customHeight="true" outlineLevel="0" collapsed="false">
      <c r="A14" s="22" t="s">
        <v>338</v>
      </c>
      <c r="B14" s="22"/>
    </row>
    <row r="15" customFormat="false" ht="42" hidden="false" customHeight="true" outlineLevel="0" collapsed="false">
      <c r="A15" s="22" t="s">
        <v>339</v>
      </c>
      <c r="B15" s="22"/>
    </row>
    <row r="16" customFormat="false" ht="42" hidden="false" customHeight="true" outlineLevel="0" collapsed="false">
      <c r="A16" s="22" t="s">
        <v>340</v>
      </c>
      <c r="B16" s="22"/>
    </row>
    <row r="17" customFormat="false" ht="42" hidden="false" customHeight="true" outlineLevel="0" collapsed="false">
      <c r="A17" s="22" t="s">
        <v>341</v>
      </c>
      <c r="B17" s="22"/>
    </row>
    <row r="18" customFormat="false" ht="42" hidden="false" customHeight="true" outlineLevel="0" collapsed="false">
      <c r="A18" s="22" t="s">
        <v>342</v>
      </c>
      <c r="B18" s="22"/>
    </row>
    <row r="20" customFormat="false" ht="15" hidden="false" customHeight="false" outlineLevel="0" collapsed="false">
      <c r="A20" s="3" t="s">
        <v>343</v>
      </c>
      <c r="B20" s="4"/>
    </row>
    <row r="21" customFormat="false" ht="36" hidden="false" customHeight="true" outlineLevel="0" collapsed="false">
      <c r="A21" s="22" t="s">
        <v>344</v>
      </c>
      <c r="B21" s="22"/>
    </row>
    <row r="22" customFormat="false" ht="36" hidden="false" customHeight="true" outlineLevel="0" collapsed="false">
      <c r="A22" s="22" t="s">
        <v>345</v>
      </c>
      <c r="B22" s="22"/>
    </row>
    <row r="23" customFormat="false" ht="36" hidden="false" customHeight="true" outlineLevel="0" collapsed="false">
      <c r="A23" s="22" t="s">
        <v>346</v>
      </c>
      <c r="B23" s="22"/>
    </row>
    <row r="24" customFormat="false" ht="36" hidden="false" customHeight="true" outlineLevel="0" collapsed="false">
      <c r="A24" s="22" t="s">
        <v>347</v>
      </c>
      <c r="B24" s="22"/>
    </row>
  </sheetData>
  <mergeCells count="10">
    <mergeCell ref="A13:B13"/>
    <mergeCell ref="A14:B14"/>
    <mergeCell ref="A15:B15"/>
    <mergeCell ref="A16:B16"/>
    <mergeCell ref="A17:B17"/>
    <mergeCell ref="A18:B18"/>
    <mergeCell ref="A21:B21"/>
    <mergeCell ref="A22:B22"/>
    <mergeCell ref="A23:B23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2026-10-13T05:17:31Z</dcterms:created>
  <dc:creator>openpyxl</dc:creator>
  <dc:description/>
  <dc:language>en-US</dc:language>
  <cp:lastModifiedBy/>
  <dcterms:modified xsi:type="dcterms:W3CDTF">2026-10-13T05:17:35Z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